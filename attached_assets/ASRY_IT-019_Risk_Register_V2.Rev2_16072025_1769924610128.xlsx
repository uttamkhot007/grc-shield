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defaultThemeVersion="124226"/>
  <mc:AlternateContent xmlns:mc="http://schemas.openxmlformats.org/markup-compatibility/2006">
    <mc:Choice Requires="x15">
      <x15ac:absPath xmlns:x15ac="http://schemas.microsoft.com/office/spreadsheetml/2010/11/ac" url="https://asrynet-my.sharepoint.com/personal/anshuman_asry_net/Documents/Audit/ISO 27001/2025/Risk Assessment/Risk Assessment/2025/"/>
    </mc:Choice>
  </mc:AlternateContent>
  <xr:revisionPtr revIDLastSave="3037" documentId="13_ncr:1_{B324C181-8CED-46EF-9042-3B37AEC9727A}" xr6:coauthVersionLast="47" xr6:coauthVersionMax="47" xr10:uidLastSave="{C11E6EC5-E2F2-4660-BF59-87FD1245D201}"/>
  <bookViews>
    <workbookView xWindow="-110" yWindow="-110" windowWidth="19420" windowHeight="10300" tabRatio="610" firstSheet="3" activeTab="5" xr2:uid="{00000000-000D-0000-FFFF-FFFF00000000}"/>
  </bookViews>
  <sheets>
    <sheet name="Change History" sheetId="12" r:id="rId1"/>
    <sheet name="Evaluation of Risk Exposure" sheetId="3" r:id="rId2"/>
    <sheet name="Risk Assessment Guidelines" sheetId="15" r:id="rId3"/>
    <sheet name="Asset Rating" sheetId="14" r:id="rId4"/>
    <sheet name="ASRY IT Risk Profiles" sheetId="5" r:id="rId5"/>
    <sheet name="IT Risk Assessment Sheet" sheetId="10" r:id="rId6"/>
    <sheet name="IT Risk Assessment Process" sheetId="1" state="hidden" r:id="rId7"/>
    <sheet name="Threat Catalogue" sheetId="4" state="hidden" r:id="rId8"/>
    <sheet name="Applicaiton Specific Risk" sheetId="6" state="hidden" r:id="rId9"/>
    <sheet name="Security Specific Risk" sheetId="7" state="hidden" r:id="rId10"/>
    <sheet name="Service Op &amp; Support Risk" sheetId="8" state="hidden" r:id="rId11"/>
    <sheet name="Wireless Project" sheetId="11" state="hidden" r:id="rId12"/>
  </sheets>
  <definedNames>
    <definedName name="_xlnm._FilterDatabase" localSheetId="5" hidden="1">'IT Risk Assessment Sheet'!$A$1:$V$86</definedName>
    <definedName name="_xlnm.Print_Area" localSheetId="4">'ASRY IT Risk Profiles'!$A$1:$S$11</definedName>
    <definedName name="_xlnm.Print_Area" localSheetId="5">'IT Risk Assessment Sheet'!$A$1:$U$132</definedName>
    <definedName name="_xlnm.Print_Titles" localSheetId="0">'Change History'!$1:$2</definedName>
    <definedName name="_xlnm.Print_Titles" localSheetId="5">'IT Risk Assessment Sheet'!$1:$1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5" i="5" l="1"/>
  <c r="Q7" i="5" l="1"/>
  <c r="P7" i="5"/>
  <c r="O7" i="5"/>
  <c r="N7" i="5"/>
  <c r="M7" i="5"/>
  <c r="Q6" i="5"/>
  <c r="P6" i="5"/>
  <c r="O6" i="5"/>
  <c r="N6" i="5"/>
  <c r="M6" i="5"/>
  <c r="Q5" i="5"/>
  <c r="P5" i="5"/>
  <c r="N5" i="5"/>
  <c r="M5" i="5"/>
  <c r="Q4" i="5"/>
  <c r="P4" i="5"/>
  <c r="O4" i="5"/>
  <c r="N4" i="5"/>
  <c r="M4" i="5"/>
  <c r="Q3" i="5"/>
  <c r="P3" i="5"/>
  <c r="O3" i="5"/>
  <c r="N3" i="5"/>
  <c r="M3" i="5"/>
  <c r="G7" i="5"/>
  <c r="F7" i="5"/>
  <c r="E7" i="5"/>
  <c r="D7" i="5"/>
  <c r="C7" i="5"/>
  <c r="C6" i="5"/>
  <c r="D6" i="5"/>
  <c r="E6" i="5"/>
  <c r="F6" i="5"/>
  <c r="G6" i="5"/>
  <c r="D4" i="5"/>
  <c r="C5" i="5"/>
  <c r="D5" i="5"/>
  <c r="E5" i="5"/>
  <c r="F5" i="5"/>
  <c r="G5" i="5"/>
  <c r="C4" i="5"/>
  <c r="E4" i="5"/>
  <c r="F4" i="5"/>
  <c r="C3" i="5"/>
  <c r="D3" i="5"/>
  <c r="E3" i="5"/>
  <c r="F3" i="5"/>
  <c r="G3" i="5"/>
  <c r="G4" i="5"/>
  <c r="J22" i="10" l="1"/>
  <c r="O22" i="10" s="1"/>
  <c r="O23" i="10" l="1"/>
  <c r="T22" i="10"/>
  <c r="T23" i="10"/>
  <c r="J84" i="10"/>
  <c r="J82" i="10"/>
  <c r="J78" i="10"/>
  <c r="J73" i="10"/>
  <c r="J68" i="10"/>
  <c r="J67" i="10"/>
  <c r="J66" i="10"/>
  <c r="J60" i="10"/>
  <c r="J55" i="10"/>
  <c r="J51" i="10"/>
  <c r="J48" i="10"/>
  <c r="J11" i="10"/>
  <c r="T13" i="10" s="1"/>
  <c r="J35" i="10"/>
  <c r="J17" i="10"/>
  <c r="O11" i="10" l="1"/>
  <c r="T11" i="10"/>
  <c r="O14" i="10"/>
  <c r="T86" i="10"/>
  <c r="T85" i="10"/>
  <c r="T84" i="10"/>
  <c r="O86" i="10"/>
  <c r="O85" i="10"/>
  <c r="O84" i="10"/>
  <c r="O63" i="10"/>
  <c r="O60" i="10"/>
  <c r="T64" i="10"/>
  <c r="O62" i="10"/>
  <c r="T63" i="10"/>
  <c r="O61" i="10"/>
  <c r="T61" i="10"/>
  <c r="O64" i="10"/>
  <c r="T65" i="10"/>
  <c r="T62" i="10"/>
  <c r="T60" i="10"/>
  <c r="O65" i="10"/>
  <c r="T14" i="10"/>
  <c r="O12" i="10"/>
  <c r="O66" i="10"/>
  <c r="T66" i="10"/>
  <c r="T12" i="10"/>
  <c r="T67" i="10"/>
  <c r="O67" i="10"/>
  <c r="T37" i="10"/>
  <c r="O37" i="10"/>
  <c r="T36" i="10"/>
  <c r="T35" i="10"/>
  <c r="O36" i="10"/>
  <c r="O35" i="10"/>
  <c r="T77" i="10"/>
  <c r="T74" i="10"/>
  <c r="T76" i="10"/>
  <c r="O73" i="10"/>
  <c r="T75" i="10"/>
  <c r="T73" i="10"/>
  <c r="O75" i="10"/>
  <c r="O74" i="10"/>
  <c r="O77" i="10"/>
  <c r="O76" i="10"/>
  <c r="T49" i="10"/>
  <c r="O48" i="10"/>
  <c r="O50" i="10"/>
  <c r="O49" i="10"/>
  <c r="T48" i="10"/>
  <c r="T50" i="10"/>
  <c r="T80" i="10"/>
  <c r="T79" i="10"/>
  <c r="T78" i="10"/>
  <c r="O81" i="10"/>
  <c r="O78" i="10"/>
  <c r="T81" i="10"/>
  <c r="O80" i="10"/>
  <c r="O79" i="10"/>
  <c r="O13" i="10"/>
  <c r="O59" i="10"/>
  <c r="T59" i="10"/>
  <c r="O56" i="10"/>
  <c r="T56" i="10"/>
  <c r="T55" i="10"/>
  <c r="O58" i="10"/>
  <c r="O57" i="10"/>
  <c r="T58" i="10"/>
  <c r="O55" i="10"/>
  <c r="T57" i="10"/>
  <c r="O21" i="10"/>
  <c r="T21" i="10"/>
  <c r="T17" i="10"/>
  <c r="T20" i="10"/>
  <c r="O20" i="10"/>
  <c r="O19" i="10"/>
  <c r="T18" i="10"/>
  <c r="O18" i="10"/>
  <c r="O17" i="10"/>
  <c r="T19" i="10"/>
  <c r="O71" i="10"/>
  <c r="O70" i="10"/>
  <c r="O69" i="10"/>
  <c r="O68" i="10"/>
  <c r="T70" i="10"/>
  <c r="O72" i="10"/>
  <c r="T72" i="10"/>
  <c r="T71" i="10"/>
  <c r="T69" i="10"/>
  <c r="T68" i="10"/>
  <c r="T52" i="10"/>
  <c r="T51" i="10"/>
  <c r="O54" i="10"/>
  <c r="O53" i="10"/>
  <c r="O52" i="10"/>
  <c r="T53" i="10"/>
  <c r="O51" i="10"/>
  <c r="T54" i="10"/>
  <c r="T83" i="10"/>
  <c r="O82" i="10"/>
  <c r="T82" i="10"/>
  <c r="O83" i="10"/>
  <c r="J15" i="10"/>
  <c r="O16" i="10" l="1"/>
  <c r="O15" i="10"/>
  <c r="T16" i="10"/>
  <c r="T15" i="10"/>
  <c r="J47" i="10"/>
  <c r="J45" i="10"/>
  <c r="J44" i="10"/>
  <c r="J39" i="10"/>
  <c r="J38" i="10"/>
  <c r="J33" i="10"/>
  <c r="J28" i="10"/>
  <c r="J26" i="10"/>
  <c r="J24" i="10"/>
  <c r="J8" i="10"/>
  <c r="J2" i="10"/>
  <c r="T3" i="10" l="1"/>
  <c r="O2" i="10"/>
  <c r="O38" i="10"/>
  <c r="T38" i="10"/>
  <c r="T44" i="10"/>
  <c r="O44" i="10"/>
  <c r="O32" i="10"/>
  <c r="O31" i="10"/>
  <c r="T32" i="10"/>
  <c r="O30" i="10"/>
  <c r="T31" i="10"/>
  <c r="T30" i="10"/>
  <c r="T28" i="10"/>
  <c r="O29" i="10"/>
  <c r="O28" i="10"/>
  <c r="T29" i="10"/>
  <c r="O43" i="10"/>
  <c r="O42" i="10"/>
  <c r="O41" i="10"/>
  <c r="T43" i="10"/>
  <c r="O40" i="10"/>
  <c r="T40" i="10"/>
  <c r="T39" i="10"/>
  <c r="T42" i="10"/>
  <c r="O39" i="10"/>
  <c r="T41" i="10"/>
  <c r="O4" i="10"/>
  <c r="T2" i="10"/>
  <c r="T7" i="10"/>
  <c r="T6" i="10"/>
  <c r="O7" i="10"/>
  <c r="O5" i="10"/>
  <c r="O6" i="10"/>
  <c r="T5" i="10"/>
  <c r="T4" i="10"/>
  <c r="T8" i="10"/>
  <c r="O9" i="10"/>
  <c r="O10" i="10"/>
  <c r="O8" i="10"/>
  <c r="T10" i="10"/>
  <c r="T9" i="10"/>
  <c r="O46" i="10"/>
  <c r="O45" i="10"/>
  <c r="T45" i="10"/>
  <c r="T46" i="10"/>
  <c r="O24" i="10"/>
  <c r="T24" i="10"/>
  <c r="O25" i="10"/>
  <c r="T25" i="10"/>
  <c r="T47" i="10"/>
  <c r="O47" i="10"/>
  <c r="T27" i="10"/>
  <c r="O26" i="10"/>
  <c r="T26" i="10"/>
  <c r="O27" i="10"/>
  <c r="O33" i="10"/>
  <c r="T33" i="10"/>
  <c r="O34" i="10"/>
  <c r="T34" i="10"/>
  <c r="O3" i="10"/>
  <c r="H25" i="8" l="1"/>
  <c r="H24" i="8"/>
  <c r="H23" i="8"/>
  <c r="H22" i="8"/>
  <c r="H21" i="8"/>
  <c r="H20" i="8"/>
  <c r="H19" i="8"/>
  <c r="H18" i="8"/>
  <c r="H17" i="8"/>
  <c r="H16" i="8"/>
  <c r="H15" i="8"/>
  <c r="H14" i="8"/>
  <c r="H13" i="8"/>
  <c r="H12" i="8"/>
  <c r="H11" i="8"/>
  <c r="H10" i="8"/>
  <c r="H9" i="8"/>
  <c r="H8" i="8"/>
  <c r="H7" i="8"/>
  <c r="H6" i="8"/>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I20" i="7"/>
  <c r="H20" i="7"/>
  <c r="H19" i="7"/>
  <c r="H18" i="7"/>
  <c r="H17" i="7"/>
  <c r="H16" i="7"/>
  <c r="H15" i="7"/>
  <c r="H14" i="7"/>
  <c r="H13" i="7"/>
  <c r="H12" i="7"/>
  <c r="H11" i="7"/>
  <c r="H10" i="7"/>
  <c r="H9" i="7"/>
  <c r="H8" i="7"/>
  <c r="H7" i="7"/>
  <c r="H6" i="7"/>
  <c r="H22" i="6"/>
  <c r="H21" i="6"/>
  <c r="H20" i="6"/>
  <c r="H19" i="6"/>
  <c r="H18" i="6"/>
  <c r="H17" i="6"/>
  <c r="H16" i="6"/>
  <c r="H15" i="6"/>
  <c r="H14" i="6"/>
  <c r="H13" i="6"/>
  <c r="H12" i="6"/>
  <c r="H11" i="6"/>
  <c r="H10" i="6"/>
  <c r="H9" i="6"/>
  <c r="H8" i="6"/>
  <c r="H7" i="6"/>
  <c r="H6" i="6"/>
</calcChain>
</file>

<file path=xl/sharedStrings.xml><?xml version="1.0" encoding="utf-8"?>
<sst xmlns="http://schemas.openxmlformats.org/spreadsheetml/2006/main" count="1483" uniqueCount="999">
  <si>
    <t>Evaluate Risk Level</t>
  </si>
  <si>
    <t>Risk Assessment</t>
  </si>
  <si>
    <t>Full Risk Assessment</t>
  </si>
  <si>
    <t>Security Standards</t>
  </si>
  <si>
    <t>Apply Security Standards</t>
  </si>
  <si>
    <t>Define Controls</t>
  </si>
  <si>
    <t>Benchmark</t>
  </si>
  <si>
    <t>Risk Register</t>
  </si>
  <si>
    <t>Set next Review Date</t>
  </si>
  <si>
    <t>Load Risk Register</t>
  </si>
  <si>
    <t xml:space="preserve"> </t>
  </si>
  <si>
    <t>IT Risk Assessment Process</t>
  </si>
  <si>
    <t>Risk 
Definition</t>
  </si>
  <si>
    <t>Define Risk</t>
  </si>
  <si>
    <t>Risk ABC</t>
  </si>
  <si>
    <t>ABC (Assessment of Business Criticality)</t>
  </si>
  <si>
    <t>Malfunctions</t>
  </si>
  <si>
    <t>Unforeseen effects of change</t>
  </si>
  <si>
    <t>Value</t>
  </si>
  <si>
    <t>Probability</t>
  </si>
  <si>
    <t>LEVEL</t>
  </si>
  <si>
    <t>A</t>
  </si>
  <si>
    <t>High</t>
  </si>
  <si>
    <t>C</t>
  </si>
  <si>
    <t>Low</t>
  </si>
  <si>
    <t>Level</t>
  </si>
  <si>
    <t>I</t>
  </si>
  <si>
    <t>Serious damage to financial condition, reputation or ability to meet business objectives</t>
  </si>
  <si>
    <t>Catastrophic</t>
  </si>
  <si>
    <t>Would limit ability to meet business objectives</t>
  </si>
  <si>
    <t>Marginal or localised impact on business objectives</t>
  </si>
  <si>
    <t>No significant business impact</t>
  </si>
  <si>
    <t>Negligible</t>
  </si>
  <si>
    <t>Evaluation of Risk Exposure – Guidelines (ASRY IT)</t>
  </si>
  <si>
    <t>External attack</t>
  </si>
  <si>
    <t>Distributing computer viruses (including worms)</t>
  </si>
  <si>
    <t>Distributing SPAM</t>
  </si>
  <si>
    <t>Introducing malicious code</t>
  </si>
  <si>
    <t>Introducing Trojan horses</t>
  </si>
  <si>
    <t>Undertaking malicious probes or scans</t>
  </si>
  <si>
    <t>Carrying out denial of service attacks</t>
  </si>
  <si>
    <t>Spoofing user identities</t>
  </si>
  <si>
    <t>Social engineering</t>
  </si>
  <si>
    <t>Spoofing web sites</t>
  </si>
  <si>
    <t>Hacking into systems</t>
  </si>
  <si>
    <t xml:space="preserve">Cracking passwords </t>
  </si>
  <si>
    <t>Defacing web sites</t>
  </si>
  <si>
    <t>Modifying network traffic</t>
  </si>
  <si>
    <t>Cracking keys</t>
  </si>
  <si>
    <t>Eavesdropping</t>
  </si>
  <si>
    <t>Human Error</t>
  </si>
  <si>
    <t>Mistakes made by IT/network staff</t>
  </si>
  <si>
    <t>User mistakes</t>
  </si>
  <si>
    <t>Internal misuse / abuse</t>
  </si>
  <si>
    <t>Downloading or sending of inappropriate content</t>
  </si>
  <si>
    <t>Installing unauthorised software</t>
  </si>
  <si>
    <t>Changing or adding software without authorisation</t>
  </si>
  <si>
    <t>Disclosing business information</t>
  </si>
  <si>
    <t xml:space="preserve">Gaining unauthorised access to systems or networks </t>
  </si>
  <si>
    <t>Disclosing authentication information</t>
  </si>
  <si>
    <t>Changing system privileges without authorisation</t>
  </si>
  <si>
    <t>Misusing systems to commit fraud</t>
  </si>
  <si>
    <t>Misusing systems to cause disruption</t>
  </si>
  <si>
    <t>Modifying or inserting transactions, files or databases without authorisation</t>
  </si>
  <si>
    <t>Malfunction of computer/network equipment</t>
  </si>
  <si>
    <t>Malfunction of business application software acquired from a third party</t>
  </si>
  <si>
    <t>Malfunction of application software developed in-house</t>
  </si>
  <si>
    <t>Malfunction of system software</t>
  </si>
  <si>
    <t>Service interruption</t>
  </si>
  <si>
    <t>Damage to, or loss of, communications links/services</t>
  </si>
  <si>
    <t>Loss of power</t>
  </si>
  <si>
    <t>System overload (eg due to excessive volume of traffic)</t>
  </si>
  <si>
    <t>Damage to or loss of ancillary equipment (eg air conditioning or a heating/cooling plant)</t>
  </si>
  <si>
    <t>Damage to, or loss of, computer facilities</t>
  </si>
  <si>
    <t>Natural disasters</t>
  </si>
  <si>
    <t>Theft</t>
  </si>
  <si>
    <t>Theft of portable computers and storage devices</t>
  </si>
  <si>
    <t>Theft of computer/network equipment</t>
  </si>
  <si>
    <t>Theft of proprietary business information</t>
  </si>
  <si>
    <t>Theft of authentication information/devices (eg passwords or Smart cards)</t>
  </si>
  <si>
    <t>Theft of identity information (eg as a result of Phishing)</t>
  </si>
  <si>
    <t>Theft of licensed software</t>
  </si>
  <si>
    <t>Theft of computer programs or methodologies</t>
  </si>
  <si>
    <t>Unforeseen effect of changes to software</t>
  </si>
  <si>
    <t>Unforeseen effect of changes to computer/communications equipment</t>
  </si>
  <si>
    <t>Unforeseen effects of introducing new/upgraded business processes</t>
  </si>
  <si>
    <t>Unforeseen effects of organisational changes</t>
  </si>
  <si>
    <t>Unforeseen effects of changes to user processes or facilities</t>
  </si>
  <si>
    <t>Unforeseen effect of changes to business information</t>
  </si>
  <si>
    <t>ASRY IT Threat Catalogue</t>
  </si>
  <si>
    <t>ASRY IT Risk Profiles</t>
  </si>
  <si>
    <t>Application Specific Risk Prompts</t>
  </si>
  <si>
    <t>Data Masking</t>
  </si>
  <si>
    <t>Dummy data will be used for development and testing or not applicable.</t>
  </si>
  <si>
    <t>Masked production data will be used for development and testing.</t>
  </si>
  <si>
    <t>Production data will be used for development and testing.</t>
  </si>
  <si>
    <t>ID</t>
  </si>
  <si>
    <t>Risk Element     …..</t>
  </si>
  <si>
    <t>Low Risk
Prompt</t>
  </si>
  <si>
    <t>Medium Risk
Prompt</t>
  </si>
  <si>
    <t>High Risk
Prompt</t>
  </si>
  <si>
    <t>Evaluation Result</t>
  </si>
  <si>
    <t>Include in Risk Register</t>
  </si>
  <si>
    <t>Comments</t>
  </si>
  <si>
    <t>Access Controls</t>
  </si>
  <si>
    <t>AC.1</t>
  </si>
  <si>
    <t>Is there an effective segregation of duties to prevent inputters authorizing transactions and vice versa?</t>
  </si>
  <si>
    <t xml:space="preserve">Formal segregated activities exist for all users which would require collusion of two or more people in order to defraud.                                                                                                                             </t>
  </si>
  <si>
    <t xml:space="preserve">Formal segregated activities exist for most users which would require collusion of two or more people in order to defraud, exceptions could be IT support staff etc.                                                                                                                             </t>
  </si>
  <si>
    <t>No formal segregation of duties exist.</t>
  </si>
  <si>
    <t>na</t>
  </si>
  <si>
    <t>AC.2</t>
  </si>
  <si>
    <t>Are access control procedures in place and user access reviewed regularly?</t>
  </si>
  <si>
    <t>Procedures are in place for issuing and approving application access and user access control reports have been reviewed for accuracy and completeness within the last 6 months.</t>
  </si>
  <si>
    <t>Procedures are in place for issuing and approving application access and user access control reports have been reviewed for accuracy and completeness within the last 12 months.</t>
  </si>
  <si>
    <t>Procedures are in place for issuing and approving application access and user access control reports have not been reviewed for the last 12 months.</t>
  </si>
  <si>
    <t>AC.3</t>
  </si>
  <si>
    <t>Are procedures defined for the timely deletion/disabling of application specific user accounts (e.g., hires, terminations, changes in responsibility etc)?</t>
  </si>
  <si>
    <t>Monthly housekeeping routines are run to ensure the timely deletion/disabling of application specific user accounts.</t>
  </si>
  <si>
    <t>Quarterly housekeeping routines are run to ensure the timely deletion/disabling of application specific user accounts.</t>
  </si>
  <si>
    <t>Housekeeping routines are run on an ad-hoc basis.</t>
  </si>
  <si>
    <t>AC.4</t>
  </si>
  <si>
    <t>Are access controls in place to ensure users are restricted to Read, Write, Execute, Delete based on individual business application requirements?</t>
  </si>
  <si>
    <t>Role based access controls are in place and documented for all users.</t>
  </si>
  <si>
    <t>Role based access controls are in place for all users.</t>
  </si>
  <si>
    <t>Access controls are applied at the individual user level.</t>
  </si>
  <si>
    <t>Database  Controls</t>
  </si>
  <si>
    <t>DBC.1</t>
  </si>
  <si>
    <t>Has the database been fully documented including, structure, schema, relationships etc?</t>
  </si>
  <si>
    <t>There is a comprehensive set of documentation which has been reviewed, and updated where necessary within the past 12 months.</t>
  </si>
  <si>
    <t xml:space="preserve">Documentation exists for the database but it has not been reviewed or updated within the past 12 months. </t>
  </si>
  <si>
    <t>Little or no documentation exists for the database.</t>
  </si>
  <si>
    <t>DBC.2</t>
  </si>
  <si>
    <t>Are database integrity checks run periodically?</t>
  </si>
  <si>
    <t>Database integrity checks are run on a regular basis and back-up copies of the database are retained from one check to the next.</t>
  </si>
  <si>
    <t>Database integrity checks have not been run within the past 12 months.</t>
  </si>
  <si>
    <t>Database integrity checks have not been run within the past 24 months.</t>
  </si>
  <si>
    <t>DBC.3</t>
  </si>
  <si>
    <t>Has the database been through the process of normalization?</t>
  </si>
  <si>
    <t>The database has been through third form normalization.</t>
  </si>
  <si>
    <t>The database has been through second form normalization.</t>
  </si>
  <si>
    <t>The database has been through first form normalization.</t>
  </si>
  <si>
    <t>DBC.4</t>
  </si>
  <si>
    <t>Are there Data validation rules in place within the database?</t>
  </si>
  <si>
    <t>Data validation rules are in place for all values entered into the database including direct user inputs and data entered automatically via batch jobs etc.</t>
  </si>
  <si>
    <t>Data validation rules are in place for most values entered into the database including direct user inputs and data entered automatically via batch jobs etc.</t>
  </si>
  <si>
    <t>Data validation rules are in place for some values entered into the database including direct user inputs and data entered automatically via batch jobs etc.</t>
  </si>
  <si>
    <t>DBC.5</t>
  </si>
  <si>
    <t>Has the Referential Integrity of the database been assessed?</t>
  </si>
  <si>
    <t>Referential Integrity rules have been set up for all tables in the database and these have been validated within the last 12 months.</t>
  </si>
  <si>
    <t>Referential Integrity rules have been set up for all tables in the database.</t>
  </si>
  <si>
    <t>Referential Integrity rules have been set up for some tables in the database.</t>
  </si>
  <si>
    <t>Input Controls</t>
  </si>
  <si>
    <t>IC.1</t>
  </si>
  <si>
    <t>Are input screens designed to prevent the omission of data and the acceptance of invalid data?</t>
  </si>
  <si>
    <t>Input screens are designed only to accept complete and valid entries.</t>
  </si>
  <si>
    <t>Input screens are designed to accept valid data, but will accept incomplete entries.</t>
  </si>
  <si>
    <t>Input screens will accept incomplete entries and invalid data.</t>
  </si>
  <si>
    <t>Output Controls</t>
  </si>
  <si>
    <t>OC.1</t>
  </si>
  <si>
    <t xml:space="preserve">Is there a documented output requirements definition? </t>
  </si>
  <si>
    <t>There is a detailed documented output requirements definition which is based on user requirements and it takes into account the different types of recipients, usage, details required, frequency, method of generation etc.</t>
  </si>
  <si>
    <t>There is a documented output requirements definition.</t>
  </si>
  <si>
    <t>There is no documented output requirements document.</t>
  </si>
  <si>
    <t>OC.2</t>
  </si>
  <si>
    <t>Is the data classification clearly indicated on all printed and on screen data output?</t>
  </si>
  <si>
    <t>All output is clearly marked with a data classification in line with Zurich's classification schema.</t>
  </si>
  <si>
    <t>All output is clearly marked with a data classification, but it is not in line with the Zurich standard classification schema.</t>
  </si>
  <si>
    <t>Output is not marked with a data classification.</t>
  </si>
  <si>
    <t>Application Development</t>
  </si>
  <si>
    <t>AD.1</t>
  </si>
  <si>
    <t xml:space="preserve">Are there separate facilities (logical or physical) for Development, Test and Production software?                                                                                                                                                                                                                                                    </t>
  </si>
  <si>
    <t xml:space="preserve">Separate dedicated environments are in place for all Development, Test and Production software for the application.                                                                                                                                                                                                                                                            </t>
  </si>
  <si>
    <t xml:space="preserve">Separate shared (with other applications) environments are in place for all Development, Test and Production software for the application.                                                                                                                                                                                                                                                            </t>
  </si>
  <si>
    <t xml:space="preserve">There are no separate environments for application  Development, Test and Production software for the application.                                                                                                                                                                                                                                                            </t>
  </si>
  <si>
    <t>AD.2</t>
  </si>
  <si>
    <t>Are compilers, editors and system utilities set up as to not be accessible from the Production systems?</t>
  </si>
  <si>
    <t>Compilers, editors and system utilities are not accessible from the Production systems.</t>
  </si>
  <si>
    <t>Compilers, editors and system utilities are accessible from the Production systems for authorized users.</t>
  </si>
  <si>
    <t>Compilers, editors and system utilities are accessible from the Production systems by all users.</t>
  </si>
  <si>
    <t>AD.3</t>
  </si>
  <si>
    <t xml:space="preserve">Are logon procedures and user names different between Development, Test and Production environments?  </t>
  </si>
  <si>
    <t>There are unique users names for development, Test and Production environments.</t>
  </si>
  <si>
    <t>There are unique users names for the Production environments.</t>
  </si>
  <si>
    <t>There are common user names for Development, Test and Production environments.</t>
  </si>
  <si>
    <t>Monitoring System &amp; Use</t>
  </si>
  <si>
    <t>MS.1</t>
  </si>
  <si>
    <t>Is application event logging enabled and are the logs stored for review?</t>
  </si>
  <si>
    <t>Comprehensive audit logs of event logging  containing user names, dates &amp; times for logon, etc are enabled and the logs are stored for a minimum of 12 months.</t>
  </si>
  <si>
    <t>Comprehensive audit logs of event logging  containing user names, dates &amp; times for logon, etc are enabled and the logs are stored for a minimum of 6 months.</t>
  </si>
  <si>
    <t>Audit logs of event logging  containing user names, dates &amp; times for logon, etc are enabled but are not stored  for a minimum of 6 months.</t>
  </si>
  <si>
    <t>MS.2</t>
  </si>
  <si>
    <t xml:space="preserve">Are there procedures for the review of application event logs?                                                                                                                                                                                                            </t>
  </si>
  <si>
    <t>Documented procedures exist and reviews are undertaken every 3 months.</t>
  </si>
  <si>
    <t>Documented procedures exist and reviews are undertaken every 6 months.</t>
  </si>
  <si>
    <t>Reviews are undertaken on an ad-hoc basis.</t>
  </si>
  <si>
    <t>Security Specific Risk Prompts</t>
  </si>
  <si>
    <t>Risk Element    …..</t>
  </si>
  <si>
    <t>Policies &amp; Standards</t>
  </si>
  <si>
    <t>PS.1</t>
  </si>
  <si>
    <t xml:space="preserve">Is the application compliant to all G-ITR policies (The "Blue Book") </t>
  </si>
  <si>
    <t>Compliance to the Blue Book has been verified by an independent external assessment or by G-ITR during the past six months</t>
  </si>
  <si>
    <t>Compliance to the Blue Book has been verified by an independent external assessment or by G-ITR more than six months ago.</t>
  </si>
  <si>
    <t>Compliance to the Blue Book has never been verified or there are known deviations to the Blue Book.</t>
  </si>
  <si>
    <t>PS.2</t>
  </si>
  <si>
    <t xml:space="preserve">Have information security responsibilities for the service been clearly defined and assigned? </t>
  </si>
  <si>
    <t>Information security responsibilities for the service have been formally assigned and documented.</t>
  </si>
  <si>
    <t>Information security responsibilities for the service have been agreed but not documented</t>
  </si>
  <si>
    <t>Information security responsibilities have not been agreed</t>
  </si>
  <si>
    <t>PS.3</t>
  </si>
  <si>
    <t>Has the G-ITR IT Security Architecture been implemented in the area under review?</t>
  </si>
  <si>
    <t>The Service is fully aligned to the G-ITR Security Architecture and Patterns</t>
  </si>
  <si>
    <t>Most of the Service is fully aligned to the G-ITR Security Architecture and Patterns</t>
  </si>
  <si>
    <t>Some elements of the Service are  aligned to the G-ITR Security Architecture and Patterns</t>
  </si>
  <si>
    <t>User Access Management</t>
  </si>
  <si>
    <t>UAM.1</t>
  </si>
  <si>
    <t>Are there additional controls in place for users with highly privileged accounts?</t>
  </si>
  <si>
    <t>Additional controls are in place for all privileged user accounts including the use of separate user names.</t>
  </si>
  <si>
    <t>Additional controls are in place for all privileged user accounts.</t>
  </si>
  <si>
    <t>There are no additional controls in place for users with highly privileged accounts.</t>
  </si>
  <si>
    <t>UAM.2</t>
  </si>
  <si>
    <t>Are there controls in place to ensure that users do not share user names.
Controls could be Technical, Logical or Procedural.</t>
  </si>
  <si>
    <t>There are controls in place to prevent users sharing credentials and these have been validated in the past six months.</t>
  </si>
  <si>
    <t>There are controls in place to prevent users sharing credentials and these have not been validated in the past six months.</t>
  </si>
  <si>
    <t>There are no controls in place to prevent users sharing credentials</t>
  </si>
  <si>
    <t>UAM.3</t>
  </si>
  <si>
    <t>Is two-factor authentication used for remote access users, including third-parties?</t>
  </si>
  <si>
    <t>All remote access uses two-factor authentication.</t>
  </si>
  <si>
    <t>Two-factor authentication is only used in some cases for remote access.</t>
  </si>
  <si>
    <t>Two-factor authentication is not used for remote access.</t>
  </si>
  <si>
    <t>Network security</t>
  </si>
  <si>
    <t>NS.1</t>
  </si>
  <si>
    <t xml:space="preserve">Is the network supported by documentation, including standards, procedures, configurations etc? </t>
  </si>
  <si>
    <t>There is a comprehensive set of supporting documentation that has been reviewed in the past 12 months.</t>
  </si>
  <si>
    <t>Supporting documentation exists for the key components of the network and it is subject to periodic review.</t>
  </si>
  <si>
    <t>There is little or no supporting documentation for the network.</t>
  </si>
  <si>
    <t>NS.2</t>
  </si>
  <si>
    <t>Is there intrusion detection systems  employed on the application supporting infrastructure.</t>
  </si>
  <si>
    <t>Intrusion detection systems are employed and alerts are continuously monitored.</t>
  </si>
  <si>
    <t>Intrusion detection systems are employed but alerts are not continuously monitored.</t>
  </si>
  <si>
    <t>There is no intrusion detection in place</t>
  </si>
  <si>
    <t>NS.3</t>
  </si>
  <si>
    <t>Have appropriate controls been put in place to limit single-points-of-failure within the application supporting infrastructure?</t>
  </si>
  <si>
    <t>The application supporting infrastructure is fully resilient with no single-points-of-failure</t>
  </si>
  <si>
    <t>Most key aspects of the application supporting infrastructure are fully resilient</t>
  </si>
  <si>
    <t>The application supporting infrastructure has several single-points-of-failure</t>
  </si>
  <si>
    <t>NS.4</t>
  </si>
  <si>
    <t>Has the application supporting infrastructure been subject to a penetration test?</t>
  </si>
  <si>
    <t>Regular penetration testing takes place and a test has been completed within the past 6 months.</t>
  </si>
  <si>
    <t>Regular penetration testing takes place and a test has been completed within the past 12 months.</t>
  </si>
  <si>
    <t>A penetration test has not be undertaken for over 12 months.</t>
  </si>
  <si>
    <t>Application Security</t>
  </si>
  <si>
    <t>AS.1</t>
  </si>
  <si>
    <t>Are application security controls documented?</t>
  </si>
  <si>
    <t>There is a comprehensive set of security documentation which has been reviewed, and updated where necessary within the past 12 months.</t>
  </si>
  <si>
    <t xml:space="preserve">Security documentation exists but it has not been reviewed or updated within the past 12 months. </t>
  </si>
  <si>
    <t>Little or no security documentation exists for the application.</t>
  </si>
  <si>
    <t>AS.2</t>
  </si>
  <si>
    <t>Has the application been subject to an application vulnerability scan?</t>
  </si>
  <si>
    <t>The application has had an application security scan within the past 6 months and action plans put in place to mitigate any identified weaknesses.</t>
  </si>
  <si>
    <t>The application has had an application security scan within the past 12 months and all identified weaknesses have been mitigated.</t>
  </si>
  <si>
    <t>The application has not had an application security scan within the past 12 months.</t>
  </si>
  <si>
    <t>AS.3</t>
  </si>
  <si>
    <t>Is the transfer of sensitive information protected from unauthorized disclosure by approved methods e.g. encrypting the information, digital signatures etc.</t>
  </si>
  <si>
    <t>Sensitive information is protected by encryption and/or digital signatures as approved by G-ITR</t>
  </si>
  <si>
    <t>Sensitive information is protected by encryption and/or digital signatures but the mechanisms have not been approved by G-ITR</t>
  </si>
  <si>
    <t>Sensitive information is not protected by encryption and/or digital signatures</t>
  </si>
  <si>
    <t>AS.4</t>
  </si>
  <si>
    <t>Are application access logs reviewed to detect unusual user activity patterns or misuse?</t>
  </si>
  <si>
    <t>Application access logs are regularly reviewed and any action taken recorded.</t>
  </si>
  <si>
    <t>Application access logs are reviewed on an ad-hoc basis</t>
  </si>
  <si>
    <t>Application access logs are not reviewed</t>
  </si>
  <si>
    <t>Workstation &amp; Server Security</t>
  </si>
  <si>
    <t>WSS.1</t>
  </si>
  <si>
    <t>Are standard configurations used for all workstations and servers (Systems) that support the application?</t>
  </si>
  <si>
    <t>Standard, documented,  configurations are used on all systems.</t>
  </si>
  <si>
    <t>Standard, documented,  configurations are used on most systems.</t>
  </si>
  <si>
    <t>Standard configurations are used on some systems.</t>
  </si>
  <si>
    <t>WSS.2</t>
  </si>
  <si>
    <t>Has a patch management framework been implemented for all Systems?</t>
  </si>
  <si>
    <t>Process and procedures exist to ensure the patching of all systems in line with G-ITR requirements.</t>
  </si>
  <si>
    <t>Process and procedures exist to ensure the patching of most systems in line with G-ITR requirements.</t>
  </si>
  <si>
    <t>Patching of systems is ad-hoc.</t>
  </si>
  <si>
    <t>WSS.3</t>
  </si>
  <si>
    <t>Are systems protected from virus, malicious code, Trojans etc?</t>
  </si>
  <si>
    <t>Virus and malicious code protection software is in place and automatically updated on a daily basis.</t>
  </si>
  <si>
    <t>Virus and malicious code protection software is in place and automatically updated on a weekly basis.</t>
  </si>
  <si>
    <t>Virus and malicious code protection software is only in place on parts of the system.</t>
  </si>
  <si>
    <t>WSS.4</t>
  </si>
  <si>
    <t>Are workstation and server event logs reviewed to detect unusual user activity patterns or misuse?</t>
  </si>
  <si>
    <t>Event logs are regularly reviewed and any action taken recorded.</t>
  </si>
  <si>
    <t>Event logs are reviewed on an ad-hoc basis</t>
  </si>
  <si>
    <t>Event logs are not reviewed</t>
  </si>
  <si>
    <t>Third-party Access</t>
  </si>
  <si>
    <t>TPA.1</t>
  </si>
  <si>
    <t>Where third party access arrangements exist are they reviewed periodically to assess compliance to policy?</t>
  </si>
  <si>
    <t>Compliance to policy checks are undertaken on a regular basis.</t>
  </si>
  <si>
    <t>Compliance to policy checks are undertaken on an ad-hoc basis</t>
  </si>
  <si>
    <t>No compliance to policy checks are undertaken.</t>
  </si>
  <si>
    <t>TPA.2</t>
  </si>
  <si>
    <t>Have security reviews taken place at third-party sites where Zurich data is processed?</t>
  </si>
  <si>
    <t>A full security review at all third-party premises processing Zurich data has taken place.</t>
  </si>
  <si>
    <t>A full security review at some third-party premises processing Zurich data has taken place.</t>
  </si>
  <si>
    <t>No security reviews of third-party premises have taken place.</t>
  </si>
  <si>
    <t>Service Operations &amp; Support Risk Prompts</t>
  </si>
  <si>
    <t xml:space="preserve">Risk Element    ……………..                                                   </t>
  </si>
  <si>
    <t>Change Management</t>
  </si>
  <si>
    <t>ChM.1</t>
  </si>
  <si>
    <t>Is there a formal change management process in operation?</t>
  </si>
  <si>
    <t>There is a formal change process in place and there have been no incidence of unauthorized changes within the past 12 months.</t>
  </si>
  <si>
    <t>There is a formal change management process in place but there have been incidence of unauthorized changes taking place within the last 12 months.</t>
  </si>
  <si>
    <t>There is a formal change management process in place but there have been incidence of unauthorized changes taking place within the last 6 months.</t>
  </si>
  <si>
    <t>ChM.2</t>
  </si>
  <si>
    <t>Are proposed changes formally accepted by the service owner before being implemented?</t>
  </si>
  <si>
    <t>The service owner (or delegate) is one of the formal approvers for all changes relating to the service.</t>
  </si>
  <si>
    <t>The service owner (or delegate) is notified of all changes impacting the service but does not formally approve the changes.</t>
  </si>
  <si>
    <t>The service owner is not involved in the change process at all.</t>
  </si>
  <si>
    <t>ChM.3</t>
  </si>
  <si>
    <t>Are changes rigorously tested and their impact assessed before they are implemented?</t>
  </si>
  <si>
    <t>All changes are tested and their impact assessed prior to the change being implemented.</t>
  </si>
  <si>
    <t xml:space="preserve">Some changes are not tested and impact assessments are not always completed. </t>
  </si>
  <si>
    <t>Changes are not tested and the impact is not assessed.</t>
  </si>
  <si>
    <t>ChM.4</t>
  </si>
  <si>
    <t xml:space="preserve">Are 'rollback' procedures developed and tested as part of the change process? </t>
  </si>
  <si>
    <t>All changes have tested rollback procedures in place in the event of failure of the change.</t>
  </si>
  <si>
    <t>Rollback procedures are normally developed but it is not always possible to test rollback procedures.</t>
  </si>
  <si>
    <t>Rollback procedures are not normally developed or are only sporadically tested.</t>
  </si>
  <si>
    <t>ChM.5</t>
  </si>
  <si>
    <t>Have there been any Severity 1 incidents to the service due to the unforeseen effects of a change?</t>
  </si>
  <si>
    <t>There have been no Severity 1 Incidents due to the unforeseen effects of change in the last 12 months.</t>
  </si>
  <si>
    <t>There have been Severity 1 incidents in the last 12 months due to the unforeseen effects of a change.</t>
  </si>
  <si>
    <t>There have been Severity 1 incidents in the last six months due to the unforeseen effects of a change.</t>
  </si>
  <si>
    <t>Problem Management</t>
  </si>
  <si>
    <t>PM.1</t>
  </si>
  <si>
    <t>Is there a formal problem and incident management process in operation?</t>
  </si>
  <si>
    <t>There is a formal problem and incident management process in place which is followed for all incidents.</t>
  </si>
  <si>
    <t>There is a formal problem and incident management process in place which only covers Severity 1 incidents.</t>
  </si>
  <si>
    <t>There is no formal problem and incident management process in place.</t>
  </si>
  <si>
    <t>PM.2</t>
  </si>
  <si>
    <t>Does the resolution of problems and incidents include an investigation and analysis of the root cause?</t>
  </si>
  <si>
    <t>Root cause analysis is documented for all problems and incidents.</t>
  </si>
  <si>
    <t>Root cause analysis is only completed for Severity 1 problems and incidents.</t>
  </si>
  <si>
    <t>A root cause analysis is only undertaken on an ad-hoc basis for problems and incidents.</t>
  </si>
  <si>
    <t>PM.3</t>
  </si>
  <si>
    <t>Are risks identified and documented in a risk register as a result of problems and incidents?</t>
  </si>
  <si>
    <t>Risks are identified and documented in a risk register for all problems and incidents.</t>
  </si>
  <si>
    <t>Risks are identified and documented for all Severity 1 incidents.</t>
  </si>
  <si>
    <t>Risks are not formally identified or documented for problems and incidents.</t>
  </si>
  <si>
    <t>PM.4</t>
  </si>
  <si>
    <t>Are identified mitigating actions for measures implemented to reduce the likelihood of problems and incidents reoccurring tracked?</t>
  </si>
  <si>
    <t>All mitigating actions are assigned a due date and owner and are formally tracked to completion.</t>
  </si>
  <si>
    <t>Mitigating actions for Severity 1 incidents are assigned a due date and owner and are formally tracked to completion.</t>
  </si>
  <si>
    <t>There is no formal process for tracking mitigating action to completion.</t>
  </si>
  <si>
    <t>Software Control and Distribution</t>
  </si>
  <si>
    <t>SCD.1</t>
  </si>
  <si>
    <t>Are there technical controls in place to ensure that there is not a breach of software license compliance or infringements of copyright etc?</t>
  </si>
  <si>
    <t>Technical controls are in place to ensure that unlicensed software is not installed for all the Service's software.</t>
  </si>
  <si>
    <t>Technical controls are in place to ensure that unlicensed software is not installed for some of the Service's software.</t>
  </si>
  <si>
    <t>There are no technical controls in place to prevent breaches of software licensing.</t>
  </si>
  <si>
    <t>SCD.2</t>
  </si>
  <si>
    <t>Does the software distribution method include formal change control processes?</t>
  </si>
  <si>
    <t>All software distribution for the Service is completed under formal change control processes.</t>
  </si>
  <si>
    <t>Only major software distribution for the Service is completed under formal change control processes, bug fixes, patching etc is done under business as usual.</t>
  </si>
  <si>
    <t>Software distribution is not under change control.</t>
  </si>
  <si>
    <t>SCD.3</t>
  </si>
  <si>
    <t>Is there a reliable software version control system in place?</t>
  </si>
  <si>
    <t>Controls are in place to manage version control for all software and all platforms employed by the Service.</t>
  </si>
  <si>
    <t>Controls are in place to manage version control for some of the software and platforms employed by the Service.</t>
  </si>
  <si>
    <t>There are no controls in place to manage version control.</t>
  </si>
  <si>
    <t>SCD.4</t>
  </si>
  <si>
    <t>Has the software code being subject to security testing and code reviews and vulnerability scanning?</t>
  </si>
  <si>
    <t>All code is subject to security testing and code reviews prior to being put into production.</t>
  </si>
  <si>
    <t>Major code changes are subject to security testing and code reviews prior to being put into production.</t>
  </si>
  <si>
    <t>Security testing and extensive code reviews do not take place.</t>
  </si>
  <si>
    <t>SCD.5</t>
  </si>
  <si>
    <t>Is maintenance and patches available for all proprietary software employed on the Service?</t>
  </si>
  <si>
    <t>All software is within the vendors current maintenance and patching requirements.</t>
  </si>
  <si>
    <t>Most of the software is within the vendors current maintenance and patching requirements.</t>
  </si>
  <si>
    <t>Most of the software is end-of-life and not supported by the vendor.</t>
  </si>
  <si>
    <t>Configuration Management</t>
  </si>
  <si>
    <t>CfgM.1</t>
  </si>
  <si>
    <t>Is the Service formally documented (whether paper or electronically) including details of application configurations, data flows, maintenance etc. ?</t>
  </si>
  <si>
    <t>Supporting documentation exists for the key components of the Service and it is subject to periodic review.</t>
  </si>
  <si>
    <t>There is little or no supporting documentation for the Service.</t>
  </si>
  <si>
    <t>CfgM.2</t>
  </si>
  <si>
    <t>Are there processes in place to ensure the timely identification, evaluation and application of "patches" to fix known vulnerabilities ?</t>
  </si>
  <si>
    <t>A standard process is followed for all patches including the evaluation and testing of patches for potential business impact.</t>
  </si>
  <si>
    <t>A standard process is followed for all patches identified as "critical" including evaluation and testing of patches for potential business impact.</t>
  </si>
  <si>
    <t xml:space="preserve">The process for the evaluation and application of patches is ad-hoc. </t>
  </si>
  <si>
    <t>CfgM.3</t>
  </si>
  <si>
    <t>Are there back-ups taken of the configurations of the devices that make up the service including routers, firewalls etc.?</t>
  </si>
  <si>
    <t>Regular back-ups of configurations are taken and the restore procedures have been tested within the past 6 months.</t>
  </si>
  <si>
    <t>Regular back-ups of configurations are taken and the restore procedures have been tested within the past 12 months.</t>
  </si>
  <si>
    <t>No testing of restore procedures have been carried out or configuration back-ups are not taken.</t>
  </si>
  <si>
    <t>Capacity Management</t>
  </si>
  <si>
    <t>CpM.1</t>
  </si>
  <si>
    <t>Is there a formal Capacity Management process in operation for the Service?</t>
  </si>
  <si>
    <t>A formal documented Capacity Management process is in place for the Service.</t>
  </si>
  <si>
    <t>There is an ad-hoc Capacity Management process in place for the Service.</t>
  </si>
  <si>
    <t>There is no Capacity Management process in place for the Service.</t>
  </si>
  <si>
    <t>CpM.2</t>
  </si>
  <si>
    <t>Is there proactive, real-time Performance Monitoring taking place on the Service ?</t>
  </si>
  <si>
    <t>There is continuous Performance Monitoring of the Service.</t>
  </si>
  <si>
    <t xml:space="preserve">Ad-hoc Performance Monitoring takes place. </t>
  </si>
  <si>
    <t>No Performance Monitoring takes place.</t>
  </si>
  <si>
    <t>CpM.3</t>
  </si>
  <si>
    <t>Are there regular application sizing reviews taking place including resource requirements (disk space requirements, resource and demand forecasting etc) ?</t>
  </si>
  <si>
    <t>Application sizing and resource requirements (CPU, memory etc) have been completed within the past 6 months.</t>
  </si>
  <si>
    <t>Application sizing and resource requirements (CPU, memory etc) have been completed within the past 12 months.</t>
  </si>
  <si>
    <t>Application sizing and resource requirements (CPU, memory etc) have not been completed within the past 12 months.</t>
  </si>
  <si>
    <t>Category</t>
  </si>
  <si>
    <t>Owner</t>
  </si>
  <si>
    <t>Custodian</t>
  </si>
  <si>
    <t>Location</t>
  </si>
  <si>
    <t>Threat</t>
  </si>
  <si>
    <t>Vulnerability</t>
  </si>
  <si>
    <t>Impact</t>
  </si>
  <si>
    <t>IT Dept</t>
  </si>
  <si>
    <t>Individual</t>
  </si>
  <si>
    <t>Unauthorized Access</t>
  </si>
  <si>
    <t>Hardware Failure</t>
  </si>
  <si>
    <t>Data Loss</t>
  </si>
  <si>
    <t>Loss of asset</t>
  </si>
  <si>
    <t>Mobile</t>
  </si>
  <si>
    <t>Data leakage</t>
  </si>
  <si>
    <t>N/A</t>
  </si>
  <si>
    <t>Weak Access control</t>
  </si>
  <si>
    <t>Device Failure</t>
  </si>
  <si>
    <t>Cable Failure, Cable Taping</t>
  </si>
  <si>
    <t>Aging, catastrophic, Pest Attack, Civil work incidents</t>
  </si>
  <si>
    <t>Not Acceptable</t>
  </si>
  <si>
    <t>Acceptable with further improvements</t>
  </si>
  <si>
    <t>Acceptable Risk</t>
  </si>
  <si>
    <t>Risk Legends</t>
  </si>
  <si>
    <t>Severity/Impact</t>
  </si>
  <si>
    <t>H/W AMC</t>
  </si>
  <si>
    <t>Inadequate AMC, Aging  H/W</t>
  </si>
  <si>
    <t>H/W AMC, Redundant Hardware</t>
  </si>
  <si>
    <t>Weak physical access control</t>
  </si>
  <si>
    <t>Building Name</t>
  </si>
  <si>
    <t>Building No.</t>
  </si>
  <si>
    <t>Connection With IT</t>
  </si>
  <si>
    <t>Access Point</t>
  </si>
  <si>
    <t>AP IP Address</t>
  </si>
  <si>
    <t>Mesh ID</t>
  </si>
  <si>
    <t>IT Department</t>
  </si>
  <si>
    <t>IT-P01</t>
  </si>
  <si>
    <t xml:space="preserve"> 20.0.7.1</t>
  </si>
  <si>
    <t>AsryYard</t>
  </si>
  <si>
    <t>Admin 3</t>
  </si>
  <si>
    <t>Admin 1&amp;2</t>
  </si>
  <si>
    <t>Admin-P01</t>
  </si>
  <si>
    <t>20.0.7.</t>
  </si>
  <si>
    <t>Superintend</t>
  </si>
  <si>
    <t>3-1</t>
  </si>
  <si>
    <t>Consultancy</t>
  </si>
  <si>
    <t>Medical</t>
  </si>
  <si>
    <t>Warehouse</t>
  </si>
  <si>
    <t>Contactors Cabin</t>
  </si>
  <si>
    <t>1</t>
  </si>
  <si>
    <t>Plate Shop</t>
  </si>
  <si>
    <t>PlateShop-P01</t>
  </si>
  <si>
    <t>20.0.7.18</t>
  </si>
  <si>
    <t>AsryYard-PlateShop</t>
  </si>
  <si>
    <t>Maintenance</t>
  </si>
  <si>
    <t>9-3-1</t>
  </si>
  <si>
    <t>Maintenance-P01</t>
  </si>
  <si>
    <t>20.0.7.14</t>
  </si>
  <si>
    <t>AsryYard-Main</t>
  </si>
  <si>
    <t>Dock Services</t>
  </si>
  <si>
    <t>DockService-P01</t>
  </si>
  <si>
    <t>20.0.7.17</t>
  </si>
  <si>
    <t>AsryYard-Dock</t>
  </si>
  <si>
    <t>Sub-Contractors 1</t>
  </si>
  <si>
    <t>10-9-3-1</t>
  </si>
  <si>
    <t>SubContracts1-P01</t>
  </si>
  <si>
    <t>20.0.7.6</t>
  </si>
  <si>
    <t>AsryYard-Cont1</t>
  </si>
  <si>
    <t>Sub-Contractors 2</t>
  </si>
  <si>
    <t>12-10-9-3-1</t>
  </si>
  <si>
    <t>Old Offshore</t>
  </si>
  <si>
    <t>New Offshore</t>
  </si>
  <si>
    <t>Sub-Station 13</t>
  </si>
  <si>
    <t>14-12-10-9-3-1</t>
  </si>
  <si>
    <t>Substation13-P01</t>
  </si>
  <si>
    <t>20.0.7.5</t>
  </si>
  <si>
    <t>Energy Cabins</t>
  </si>
  <si>
    <t>Goltens</t>
  </si>
  <si>
    <t>Mech-P01</t>
  </si>
  <si>
    <t>20.0.7.2</t>
  </si>
  <si>
    <t>AsryYard-Mech</t>
  </si>
  <si>
    <t>Mechanical Offices</t>
  </si>
  <si>
    <t>Mechanical Workshop</t>
  </si>
  <si>
    <t>19-3-1</t>
  </si>
  <si>
    <t>Pipe Shop</t>
  </si>
  <si>
    <t>Fire &amp; Safety</t>
  </si>
  <si>
    <t>Fire&amp;Safty-P01</t>
  </si>
  <si>
    <t>20.0.7.13</t>
  </si>
  <si>
    <t>No fiber cable redundancy, No Wireless connection backup</t>
  </si>
  <si>
    <t>Power outage</t>
  </si>
  <si>
    <t>Fire</t>
  </si>
  <si>
    <t>Natural Calamity 
(Flood, earthquake)</t>
  </si>
  <si>
    <t>Cloud</t>
  </si>
  <si>
    <t>Non Availability</t>
  </si>
  <si>
    <t>Data Leakage</t>
  </si>
  <si>
    <t>inadequate technical competence</t>
  </si>
  <si>
    <t>High turn around time for support</t>
  </si>
  <si>
    <t>No technical competence evaluation for vendors</t>
  </si>
  <si>
    <t>Single source of support</t>
  </si>
  <si>
    <t>Unrest</t>
  </si>
  <si>
    <t>Identification of alternate support vendors</t>
  </si>
  <si>
    <t>No NDA, Data in vendor custody</t>
  </si>
  <si>
    <t>Existing Controls</t>
  </si>
  <si>
    <t>Unapproved Changes/configurations</t>
  </si>
  <si>
    <t>Malfunctioning, failure, service disruption</t>
  </si>
  <si>
    <t>No Antivirus, No backup mechanism,
No patch management,No clear desk &amp; clear screen policy</t>
  </si>
  <si>
    <t>S.No</t>
  </si>
  <si>
    <t>No clear direction or objectives for IT and end users, enforcement not possible, outdated policy</t>
  </si>
  <si>
    <t>Version No.</t>
  </si>
  <si>
    <t>Date</t>
  </si>
  <si>
    <t>Change Description</t>
  </si>
  <si>
    <t>09.02.2014</t>
  </si>
  <si>
    <t>Initial release</t>
  </si>
  <si>
    <t>Addition of new risks &amp; controls</t>
  </si>
  <si>
    <t>Mohammed Sharqawy</t>
  </si>
  <si>
    <t>Anshuman Tripathi</t>
  </si>
  <si>
    <t>04.11.2013</t>
  </si>
  <si>
    <t>31.03.2013</t>
  </si>
  <si>
    <t>11.05.2014</t>
  </si>
  <si>
    <t>CHANGE HISTORY</t>
  </si>
  <si>
    <t>Prepared By</t>
  </si>
  <si>
    <t>Addition of new risks &amp; controls related to:</t>
  </si>
  <si>
    <t>a) Unapproved Changes or Configurations in IT Applications</t>
  </si>
  <si>
    <t>b) Unapproved Changes or Configurations in IT Infrastructure</t>
  </si>
  <si>
    <t>c) ASRY Mail (Google Mail)</t>
  </si>
  <si>
    <t>d) Vendor Support</t>
  </si>
  <si>
    <t>e) Password List</t>
  </si>
  <si>
    <t>f) Databases</t>
  </si>
  <si>
    <t>g) Applications</t>
  </si>
  <si>
    <t>h) UNIX Server Operating Systems</t>
  </si>
  <si>
    <t>i) Windows Server Operating Systems</t>
  </si>
  <si>
    <t>j) Portable Data Storage Devices</t>
  </si>
  <si>
    <t>k) IT Policies &amp; Procedures</t>
  </si>
  <si>
    <t>l) Loss of IT Assets</t>
  </si>
  <si>
    <t>a) End of Windows XP Support</t>
  </si>
  <si>
    <t>b) End of vendor support for Oracle database</t>
  </si>
  <si>
    <t>Additon of risks &amp; controls related to:</t>
  </si>
  <si>
    <t>PREPARED BY:</t>
  </si>
  <si>
    <t>SIGNATURES:</t>
  </si>
  <si>
    <t>______________________________________________________</t>
  </si>
  <si>
    <t>REVIEWED BY:</t>
  </si>
  <si>
    <t>APPROVED BY:</t>
  </si>
  <si>
    <t>Process</t>
  </si>
  <si>
    <t>Lack of defined change management policy &amp; procedures</t>
  </si>
  <si>
    <t>Capacity Planning</t>
  </si>
  <si>
    <t>Data Loss/Corruption</t>
  </si>
  <si>
    <t>Lack of capacity utilization monitoring</t>
  </si>
  <si>
    <t>System Failure, Service Disruption</t>
  </si>
  <si>
    <t>Project Management</t>
  </si>
  <si>
    <t>Unapproved Changes</t>
  </si>
  <si>
    <t>Defined change management policy &amp; procedures,defined role &amp; responsibility matrix for change</t>
  </si>
  <si>
    <t>Unapproved Configurations</t>
  </si>
  <si>
    <t>a) Change Management</t>
  </si>
  <si>
    <t>b) Configuration Management</t>
  </si>
  <si>
    <t>c) Capacity Planning</t>
  </si>
  <si>
    <t>d) Application Development</t>
  </si>
  <si>
    <t>e) Project Management</t>
  </si>
  <si>
    <t>f) Mobile Computing</t>
  </si>
  <si>
    <t>g) Manage Engine</t>
  </si>
  <si>
    <t>Mapping of  control numbers as per new ISO 27001:2013 standard</t>
  </si>
  <si>
    <t>h) Licenses</t>
  </si>
  <si>
    <t>i) Portable Wifi Devices</t>
  </si>
  <si>
    <t>K.Hanumanth Rao</t>
  </si>
  <si>
    <t>23.06.2014</t>
  </si>
  <si>
    <t>Lack of Security Considerations</t>
  </si>
  <si>
    <t>Exploitation of security exceptions</t>
  </si>
  <si>
    <t>02.12.2014</t>
  </si>
  <si>
    <t>a) Oracle Financials</t>
  </si>
  <si>
    <t>b) Project Management</t>
  </si>
  <si>
    <t>Cable Cut</t>
  </si>
  <si>
    <t>Software Failure, Resources</t>
  </si>
  <si>
    <t>Recommended Action</t>
  </si>
  <si>
    <t>Management Response</t>
  </si>
  <si>
    <t>Risk Accepted by Management</t>
  </si>
  <si>
    <t>i) Laptop (Executive)</t>
  </si>
  <si>
    <t>ii) Laptop (Normal Users)</t>
  </si>
  <si>
    <t>iii) VMware Server</t>
  </si>
  <si>
    <t>iv) Exchange Server</t>
  </si>
  <si>
    <t>v) Anti Virus Server</t>
  </si>
  <si>
    <t>vi) OpenText Server</t>
  </si>
  <si>
    <t>vii) CXAIR Server</t>
  </si>
  <si>
    <t>viii) File Server</t>
  </si>
  <si>
    <t>ix) Consultancy Server</t>
  </si>
  <si>
    <t>x) Eprocurement Test Server</t>
  </si>
  <si>
    <t>xi) Active Directory Server</t>
  </si>
  <si>
    <t>xii) Cadmatic Server</t>
  </si>
  <si>
    <t>xiii) Oracle EBS Database Server</t>
  </si>
  <si>
    <t>xiv) Oracle EBS DR Database Server</t>
  </si>
  <si>
    <t>xv) Inhouse Apps Database Server</t>
  </si>
  <si>
    <t>xvi) Inhouse Apps DR Database Server</t>
  </si>
  <si>
    <t>xvii) Production SUN Storage Controller</t>
  </si>
  <si>
    <t>xviii) DR SUN Storage Controller</t>
  </si>
  <si>
    <t>xix) Oracle EBS Application Server</t>
  </si>
  <si>
    <t>xxi) Oracle Test Database Server</t>
  </si>
  <si>
    <t>xx) Oracle EBS DR Application Server</t>
  </si>
  <si>
    <t>xxii) Inhouse Apps (ASTU/ASRYBLAST)Application Server</t>
  </si>
  <si>
    <t>xxiii)Symantec Netbackup Server</t>
  </si>
  <si>
    <t>xxiv) Inhouse Apps Application Server</t>
  </si>
  <si>
    <t>xxv)Oracle Portal Server</t>
  </si>
  <si>
    <t>xxvi) Oracle Portal DR Server</t>
  </si>
  <si>
    <t>xxvii) Eprocurement Server</t>
  </si>
  <si>
    <t>xxviii) Ironport Server</t>
  </si>
  <si>
    <t>Revision of existing controls &amp; residual risks</t>
  </si>
  <si>
    <t>Updation of Recommended controls for High &amp; Medium risks</t>
  </si>
  <si>
    <t>Updation of Management Response for High &amp; Medium risks</t>
  </si>
  <si>
    <t>Asset Rating – Guidelines (ASRY IT)</t>
  </si>
  <si>
    <t>Low (1)</t>
  </si>
  <si>
    <t>High (3)</t>
  </si>
  <si>
    <t>Critical (4)</t>
  </si>
  <si>
    <r>
      <rPr>
        <b/>
        <u/>
        <sz val="11"/>
        <rFont val="Arial"/>
        <family val="2"/>
      </rPr>
      <t>Confidentiality</t>
    </r>
    <r>
      <rPr>
        <sz val="11"/>
        <rFont val="Arial"/>
        <family val="2"/>
      </rPr>
      <t xml:space="preserve">
Preserving authorized restrictions on information access and disclosure, including means for protection of personal privacy and proprietary information</t>
    </r>
  </si>
  <si>
    <r>
      <rPr>
        <b/>
        <u/>
        <sz val="11"/>
        <rFont val="Arial"/>
        <family val="2"/>
      </rPr>
      <t>Availability</t>
    </r>
    <r>
      <rPr>
        <sz val="11"/>
        <rFont val="Arial"/>
        <family val="2"/>
      </rPr>
      <t xml:space="preserve">
Ensuring timely and reliable access to and use of information.
</t>
    </r>
  </si>
  <si>
    <r>
      <rPr>
        <b/>
        <u/>
        <sz val="11"/>
        <rFont val="Arial"/>
        <family val="2"/>
      </rPr>
      <t xml:space="preserve">
Integrity</t>
    </r>
    <r>
      <rPr>
        <sz val="11"/>
        <rFont val="Arial"/>
        <family val="2"/>
      </rPr>
      <t xml:space="preserve">
Guarding against improper information modification or destruction, and includes ensuring information non-repudiation and authenticity.
</t>
    </r>
  </si>
  <si>
    <t>The unauthorized disclosure of information could be expected to have a limited adverse effect on organizational operations, organizational assets, or individuals.</t>
  </si>
  <si>
    <t>The unauthorized disclosure of information could be expected to have a serious adverse effect on organizational operations, organizational assets, or individuals.</t>
  </si>
  <si>
    <t>The unauthorized disclosure of information could be expected to have a severe or catastrophic adverse effect on organizational operations, organizational assets, or individuals.</t>
  </si>
  <si>
    <t>The modification or destruction of information could be expected to have a limited adverse effect on organizational operations, organizational assets, or individuals.</t>
  </si>
  <si>
    <t>The modification or destruction of information could be expected to have a serious adverse effect on organizational operations, organizational assets, or individuals.</t>
  </si>
  <si>
    <t>The modification or destruction of information could be expected to have a severe or catastrophic adverse effect on organizational operations, organizational assets, or individuals</t>
  </si>
  <si>
    <t>The disruption of access to or use of information or an information system could be expected to have a limited adverse effect on organizational operations, organizational assets, or individuals.</t>
  </si>
  <si>
    <t>The disruption of access to or use of information or an information system could be expected to have a serious adverse effect on organizational operations, organizational assets, or individuals.</t>
  </si>
  <si>
    <t>The disruption of access to or use of information or an information system could be expected to have a severe or catastrophic adverse effect on organizational operations, organizational assets, or individuals</t>
  </si>
  <si>
    <t>The unauthorized disclosure of information could be expected to have a severe adverse effect on organizational operations, organizational assets, or individuals.</t>
  </si>
  <si>
    <t>The modification or destruction of information could be expected to have a severe  adverse effect on organizational operations, organizational assets, or individuals</t>
  </si>
  <si>
    <t>The disruption of access to or use of information or an information system could be expected to have a severe adverse effect on organizational operations, organizational assets, or individuals</t>
  </si>
  <si>
    <t>28.04.2015</t>
  </si>
  <si>
    <t>Updation of Asset Rating Criteria</t>
  </si>
  <si>
    <t>i) Asrymail (Google Mail)</t>
  </si>
  <si>
    <t>15.09.2015</t>
  </si>
  <si>
    <t>i) Databases (Vendor personnel having system administration rights)</t>
  </si>
  <si>
    <t>iii) Vendor Support (Connexica)</t>
  </si>
  <si>
    <t>iv) Vendor Support (Kaizit)</t>
  </si>
  <si>
    <t>iv) Vendor Support (Elite Technologies)</t>
  </si>
  <si>
    <t>v) Vendor Support (Hilal)</t>
  </si>
  <si>
    <t>vi) Vendor Support (Gulf Computers)</t>
  </si>
  <si>
    <t>vii) Vendor Support (Apple Centre)</t>
  </si>
  <si>
    <t>ii) Security Analyst (Segregation of Duty)</t>
  </si>
  <si>
    <t>vii) Vendor Support (Batelco)</t>
  </si>
  <si>
    <t>vii) Vendor Support (East Innovations)</t>
  </si>
  <si>
    <t>Hand delivery of backup tapes by authorized ASRY IT personnel, use of  the tape backup deposit/return form</t>
  </si>
  <si>
    <t>Backup Tapes Lost in Transit, Tapes handed over to unauthorized personnel</t>
  </si>
  <si>
    <t>20.06.2016</t>
  </si>
  <si>
    <t>ix) Data Backup Management</t>
  </si>
  <si>
    <t>x) Mobile Computing</t>
  </si>
  <si>
    <t>xi) Capacity Planning</t>
  </si>
  <si>
    <t>xii)Application Development</t>
  </si>
  <si>
    <t>xiii) Configuration Management</t>
  </si>
  <si>
    <t>18.10.2016</t>
  </si>
  <si>
    <t>Malicious Code,Malware, Ransomware</t>
  </si>
  <si>
    <t>11.06.2017</t>
  </si>
  <si>
    <t>i) Vmware Server</t>
  </si>
  <si>
    <t>ii) Active Directory Servers</t>
  </si>
  <si>
    <t>iii) Exchange Servers</t>
  </si>
  <si>
    <t>iv) OpenText Servers</t>
  </si>
  <si>
    <t>v) CXAir Server</t>
  </si>
  <si>
    <t>vi) Eprocurement Servers</t>
  </si>
  <si>
    <t>vii) Eprocurement Test Server</t>
  </si>
  <si>
    <t>viii) File Servers</t>
  </si>
  <si>
    <t>x) Cadmatic Server (ACS)</t>
  </si>
  <si>
    <t>xi) PC</t>
  </si>
  <si>
    <t>xii) Laptop (Normal Users)</t>
  </si>
  <si>
    <t>xiii) Laptop (Executive)</t>
  </si>
  <si>
    <t>01.04.2018</t>
  </si>
  <si>
    <t>i) Third Party Antivirus Software</t>
  </si>
  <si>
    <t>ii) Exchange Email</t>
  </si>
  <si>
    <t>11.11.2018</t>
  </si>
  <si>
    <t>ii) Fiber Cables Connection</t>
  </si>
  <si>
    <t>iii) Production &amp; DR Data Centres</t>
  </si>
  <si>
    <t>Modification in recommended action related to:</t>
  </si>
  <si>
    <t>20.08.2019</t>
  </si>
  <si>
    <t>i) Microsoft Exchange Online</t>
  </si>
  <si>
    <t>ii) Amazon Web Services (AWS)</t>
  </si>
  <si>
    <t>Unapproved Changes/Misconfigurations</t>
  </si>
  <si>
    <t>Remote Working</t>
  </si>
  <si>
    <t>28.09.2020</t>
  </si>
  <si>
    <t>i) Laptop</t>
  </si>
  <si>
    <t>ii) Remote Working</t>
  </si>
  <si>
    <t>H/W Warranty</t>
  </si>
  <si>
    <t>Modification of risks &amp; controls related to:</t>
  </si>
  <si>
    <t>i) PC</t>
  </si>
  <si>
    <t>iii) Laptop (Executive)</t>
  </si>
  <si>
    <t>15.08.2021</t>
  </si>
  <si>
    <t>iv) General IT Resources</t>
  </si>
  <si>
    <t>Weak Access Controls</t>
  </si>
  <si>
    <t>Dedicated MPLS Link, Username &amp; password, Separate Voice VLAN, Server maintained by Service Provider</t>
  </si>
  <si>
    <t>No vendor support, service disruption</t>
  </si>
  <si>
    <t>Warranty &amp; Support Contract with vendor, Avaya Workspace application on smartphones, Microsoft Teams</t>
  </si>
  <si>
    <t>Gap in stakeholder communication, SDLC principles not followed inadequate testing, test cases not documented</t>
  </si>
  <si>
    <t>Periodic project team workshops &amp; meetings, Steering Committee meetings, SIT, UAT, Documentation of Test Cases, SDLC framework followed</t>
  </si>
  <si>
    <t>Defined project management policy &amp; procedures,defined role &amp; responsibility matrix for project, Signed Contract, NDA</t>
  </si>
  <si>
    <t>Project Risk Management</t>
  </si>
  <si>
    <t>Project risks not documented and reviewed</t>
  </si>
  <si>
    <t>Poor Quality of Code</t>
  </si>
  <si>
    <t>Unapproved Changes/Configurations</t>
  </si>
  <si>
    <t>Projects risks documented and reviewed periodically during project team meetings &amp; Steering Committee meetings</t>
  </si>
  <si>
    <t>Malfunctioning, failure, poor quality fo code</t>
  </si>
  <si>
    <t>v) Production &amp; DR Data Centres</t>
  </si>
  <si>
    <t>vi) Fiber Cable Connections</t>
  </si>
  <si>
    <t>vii) Microsoft Exchange Online</t>
  </si>
  <si>
    <t>viii) Sharepoint Online</t>
  </si>
  <si>
    <t>ix) IP Telephony</t>
  </si>
  <si>
    <t>x) Infor ERP Project</t>
  </si>
  <si>
    <t>Project Change Request, Roles &amp; Responsibility Matrix, Signed Scope, MOSCOW List, Blueprint Document, Change Approval by Steering Committee</t>
  </si>
  <si>
    <t>30.05.2022</t>
  </si>
  <si>
    <t>i) Altaro Backup</t>
  </si>
  <si>
    <t>ii) Microsoft Exchange Online</t>
  </si>
  <si>
    <t>ANSHUMAN TRIPATHI</t>
  </si>
  <si>
    <t>MOHAMMED AL SHARQAWY</t>
  </si>
  <si>
    <t xml:space="preserve">      NAME:</t>
  </si>
  <si>
    <t xml:space="preserve">                NAME:</t>
  </si>
  <si>
    <t xml:space="preserve">              DATE:</t>
  </si>
  <si>
    <t xml:space="preserve">    DATE:</t>
  </si>
  <si>
    <t xml:space="preserve">   TITLE:</t>
  </si>
  <si>
    <t>IT SECURITY ANALYST</t>
  </si>
  <si>
    <t xml:space="preserve">    TITLE:</t>
  </si>
  <si>
    <t xml:space="preserve">               TITLE:</t>
  </si>
  <si>
    <t>Cybersecurity Threats (including but not limited to Social Engineering, Spam, Phishing, Business Email Compromise, Malware attacks, Ransomware attacks, Virus attacks, DDOS or MITM attacks, Zero Day Exploits, SQL Injection, CSS attacks, Weak passwords, APT, SQL Injection,Cloud Vulnerabilities, Brute Force attacks, Windows Vulnerabilities etc)</t>
  </si>
  <si>
    <t>Weak or insufficient multi-layered cybersecurity controls</t>
  </si>
  <si>
    <t>DEPUTY CHIEF EXECUTIVE OFFICER</t>
  </si>
  <si>
    <t>iii) Microsoft Office 365</t>
  </si>
  <si>
    <t>i) Commercial &amp; Personal Data</t>
  </si>
  <si>
    <t>ii) Cybersecurity</t>
  </si>
  <si>
    <t>i) Email</t>
  </si>
  <si>
    <t>iii) Business Continuity (IT Systems)</t>
  </si>
  <si>
    <t>iv) Infor ERP</t>
  </si>
  <si>
    <t>22.10.2023</t>
  </si>
  <si>
    <t>Controls From 27001:2022</t>
  </si>
  <si>
    <t>Weak Access control, Weak Password Policy, No Session Timeout configured, No Accont Lockout configured, MFA not enabled, Login from unknown locations not restricted &amp; monitored, Lack of employee awareness</t>
  </si>
  <si>
    <t>No Data Sanitization, Lack of awareness, Malicious acts</t>
  </si>
  <si>
    <t>No Antivirus, 
No patch management, No firewall, Outdated/End of life operating system, Lack of employee awareness</t>
  </si>
  <si>
    <t>A.8.7</t>
  </si>
  <si>
    <t xml:space="preserve">
A.7.7
A.8.10
A.8.12</t>
  </si>
  <si>
    <t>A.7.13</t>
  </si>
  <si>
    <t>A.5.9
A.5.10
A.5.11
A.7.3
A.7.9</t>
  </si>
  <si>
    <t>IT Asset Management (Desktop, Laptops, Portable Data Storage Devices, Smartphones)</t>
  </si>
  <si>
    <t>Fixed</t>
  </si>
  <si>
    <t>Physical Access Control (Access Control Devices, CCTV)</t>
  </si>
  <si>
    <t>IT Asset Management (Other IT Assets -  Printers, Copy Machines)</t>
  </si>
  <si>
    <t>Printing secured with PIN/Windows Login &amp; Password/Access Card</t>
  </si>
  <si>
    <t>A.7.3
A.7.4</t>
  </si>
  <si>
    <t>Equipment Tampering, Data loss</t>
  </si>
  <si>
    <t>Secure network racks, Access Control Devices, Centralized 24X7 CCTV Monitoring</t>
  </si>
  <si>
    <t>Change Management procedure, Roles &amp; Responsibility Matrix</t>
  </si>
  <si>
    <t>Strong Password Policy,  Secure Network racks, Network segregation through VLAN's, Network Firewall</t>
  </si>
  <si>
    <t>Malicious Code,Malware, Ransomware, other network attacks (virus, botnet, DDOS, APT, MITM, Spoofing, Sniffing etc.)</t>
  </si>
  <si>
    <t>Cabling drawings, notification before Civil work, Pest control, Redundant arrangements, Wireless connectivity, Company Smartphone with internet facility</t>
  </si>
  <si>
    <t>Fiber Cable Redundancy, Wireless Devices, company smartphones with internet</t>
  </si>
  <si>
    <t>A.7.12
A.8.14</t>
  </si>
  <si>
    <t>Network Cabling Management (Fiber &amp; Other Network Cables)</t>
  </si>
  <si>
    <t>Internet Access Management</t>
  </si>
  <si>
    <t>No Antivirus, No firewall, No Web Filtering, File download from internet not restricted, Lack of employee awareness</t>
  </si>
  <si>
    <t>Crowdstrike EDR (Antivirus), Palo Alto NGFW with IDS &amp; IPS, Fortigate Network Firewall, Web Filtering policies via Zscaler web firewall &amp; Zero Trust Network Architecture, Employee Awareness through Knowbe4 Security Training &amp; Awareness platform</t>
  </si>
  <si>
    <t>Weak Access control, Weak Password Policy, No Session Timeout configured, No Accont Lockout configured, MFA not enabled, Internet Access open for all users, Lack of employee awareness</t>
  </si>
  <si>
    <t>Strong Password Policy, Multi Factor Authentication enabled &amp; mandatory,  Strong Access Controls, Session Timeout Configured, Account Lockout Configured, 24X7 Event Monitoring by SOC, Internet Access Request procedure through Helpdesk, Employee Awareness through Knowbe4 Security Training &amp; Awareness platform</t>
  </si>
  <si>
    <t>H/W AMC, Backup to storage and tapes,Office 365 backup on cloud via Altaro</t>
  </si>
  <si>
    <t>A.7.13
A.8.13</t>
  </si>
  <si>
    <t>Backup Storage Device H/F Failure, Misconfiguration</t>
  </si>
  <si>
    <t>Tape Failure</t>
  </si>
  <si>
    <t>Poor Storage, No Restoration testing</t>
  </si>
  <si>
    <t>Backup tapes stored  in Clean and Safe ienvironment in external location, Quarterly restoration testing of backup tapes conducted</t>
  </si>
  <si>
    <t>Data Loss, Data Leakage, No inventory</t>
  </si>
  <si>
    <t>A.8.7
A.8.16</t>
  </si>
  <si>
    <t>A.7.10
A.7.13</t>
  </si>
  <si>
    <t>A.5.9
A.5.14
A.7.10
A.7.13</t>
  </si>
  <si>
    <t>IT Dept/Security</t>
  </si>
  <si>
    <t>Bugs, Incorrect configuration, No Version Control, Lack of Technical Expertise, No Configuration Backup</t>
  </si>
  <si>
    <t>Vendor Support, AMC, Backup to storage and tapes</t>
  </si>
  <si>
    <t xml:space="preserve">A.8.9
</t>
  </si>
  <si>
    <t>Yearly Resource Forecasting, Scalable Cloud based Infrastructure, 24X7 Event Monitoring by SOC</t>
  </si>
  <si>
    <t>A.8.6</t>
  </si>
  <si>
    <t>A.5.3
A.8.32</t>
  </si>
  <si>
    <t>A.5.3
A.8.9
A.8.32</t>
  </si>
  <si>
    <t xml:space="preserve"> No network segregation, No firewall, Outdated/End of life firmware, Encryption not enabled, No network traffic/ log monitoring &amp; review, No periodic VAPT</t>
  </si>
  <si>
    <t>A.8.7
A.8.8
A.8.16
A.8.20
A.8.21
A.8.22
A.8.24</t>
  </si>
  <si>
    <t>Strong Password Policy, Multi Factor Authentication enabled &amp; mandatory, Strong Access Controls, Session Timeout Configured, Account Lockout Configured, Privileged access given based on approval as per defined roles &amp; responsibility matrix, Periocid log monitoring &amp; Access Review</t>
  </si>
  <si>
    <t>Weak Access control, Weak Password Policy, No Session Timeout configured, Privileged Access rights not properly assigned, No Log Monitoring &amp; Access Review</t>
  </si>
  <si>
    <t>No Testing, No Backup, Development, Test &amp; Production environments not separated</t>
  </si>
  <si>
    <t>Change Management Procedure via Helpdesk, Rollback plan, Test Case sheet used for UAT, Backup to storage and tapes, Separate Development, Test and Production environments, Changes moved to Production upon successful testing</t>
  </si>
  <si>
    <t>A.8.19
A.8.31
A.8.32
A.8.33</t>
  </si>
  <si>
    <t>Endpoint Security</t>
  </si>
  <si>
    <t>Inadequate Physical Security Controls, Inadequate Security procedures by employee, lack of awareness, negligence, No inventory of assets, Assets not labelled, Assets not returned by employee upon seperation, No insurance</t>
  </si>
  <si>
    <t>Inadequate Physical Security Controls,  No inventory of assets, Assets not labelled, Assets not returned by employee upon seperation</t>
  </si>
  <si>
    <t xml:space="preserve"> Physical Security Controls, CCTV, Gatepass, All IT assets labelled, IT Asset List maintained, Final Clearance Form signed by IT only upon return of assigned IT assets</t>
  </si>
  <si>
    <t xml:space="preserve">A.5.15
A.8.5
</t>
  </si>
  <si>
    <t>Network Infrastructure Management (Routers, Access Switches, Core Switches, Wifi Routers, Firewall)</t>
  </si>
  <si>
    <t>IT Dept/Supply Chain</t>
  </si>
  <si>
    <t>Background check of vendors doen by Supply Chain Dept.</t>
  </si>
  <si>
    <t>NDA with vendors, All data is owned by ASRY, Maintenance activties done wth prior approval of ASRY. Supply Chain Dept. maintains a database of all IT vendors.</t>
  </si>
  <si>
    <t>Vendor contract including SLA, background check of vendors, Vendor performance review conducted by Suppy Chain Dept upon contract renewal</t>
  </si>
  <si>
    <t>No technical competence evaluation for vendors, No SLA signoff with vendor, No Performance review of vendors</t>
  </si>
  <si>
    <t>Lack of defined change management policy &amp; procedures, Changes not approved by ASRY</t>
  </si>
  <si>
    <t>Defined change management policy &amp; procedures,defined role &amp; responsibility matrix for change, All changes approved by ASRy prior to deployment</t>
  </si>
  <si>
    <t>A.5.3
A.5.19
A.5.20
A.5.21
A.8.32</t>
  </si>
  <si>
    <t xml:space="preserve">
A.5.19
A.5.20
A.5.21
</t>
  </si>
  <si>
    <t>A.5.22</t>
  </si>
  <si>
    <t>Data Backup Management (tape, Storage &amp; Cloud based backup)</t>
  </si>
  <si>
    <t>No Backup, No backup log monitoring &amp; review, No restoration testing, deleted files, database corruption</t>
  </si>
  <si>
    <t xml:space="preserve"> Daily, Weekly, Monthly and Yearly Backup to storage and tapes, Office 365 backup on cloud via Altaro, Daily backup log monitoring &amp; review, Quarterly restoration testing of backup tapes conducted, Data stored on cloud, Data stored in redundant locations,  Recovery of Deleted Data,  Archival &amp; Retention Policies, Contract &amp; NDA, Vendor Support</t>
  </si>
  <si>
    <t>A.5.23
A.8.13
A.8.15
A.8.16</t>
  </si>
  <si>
    <t>Cybersecurity of Information Technology Systems (including but not limited to network, applications, databases, servers, internet, email, cloud services, laptops, PC's, printers, other hardwares &amp; softwares  etc.)</t>
  </si>
  <si>
    <t>Software License Management</t>
  </si>
  <si>
    <t>Legal Issues</t>
  </si>
  <si>
    <t>IPR Breach</t>
  </si>
  <si>
    <t>No Licenses Inventory, Non-compliance, Penalty</t>
  </si>
  <si>
    <t xml:space="preserve"> Unlicensed software, Inadequate Licenses</t>
  </si>
  <si>
    <t xml:space="preserve"> Licenses Inventory in Manage Engine, Software installation by end user restricted through Active Directory Group Policy, Crowdstrike EDR &amp; Zscaler</t>
  </si>
  <si>
    <t>Only licensed software used, Subscription based licenses, Adequate number of licenses, Software installation by end user restricted through Active Directory Group Policy, Crowdstrike EDR &amp; Zscaler</t>
  </si>
  <si>
    <t xml:space="preserve">A.5.31
A.5.32
A.8.19
</t>
  </si>
  <si>
    <t>IT Policies &amp; Procedures Management</t>
  </si>
  <si>
    <t>IT Dept/Mgt Audit</t>
  </si>
  <si>
    <t>IT policies and procedures not documented, Policy &amp; procedure documents not reviewed, No version control, Policy &amp; Procedure documents not signed by Management, Policies &amp; Procedures not communicated to end users</t>
  </si>
  <si>
    <t>A.6.7
A.8.7</t>
  </si>
  <si>
    <t xml:space="preserve">
A.6.7
A.7.7
A.8.10
A.8.12</t>
  </si>
  <si>
    <t>A.5.8</t>
  </si>
  <si>
    <t xml:space="preserve">A.5.1
A.5.2
A.5.4
A.5.8
A.5.37
</t>
  </si>
  <si>
    <t xml:space="preserve">A.5.8
A.8.4
A.8.25
A.8.26
A.8.27
A.8.28
A.8.29
A.8.31
A.8.32
A.8.33
</t>
  </si>
  <si>
    <t xml:space="preserve">A.5.8
A.8.25
A.8.26
A.8.27
A.8.28
A.8.29
A.8.31
A.8.32
</t>
  </si>
  <si>
    <t>Network Infrastructure Management (IP Telephony)</t>
  </si>
  <si>
    <t>A.7.13
A.8.14</t>
  </si>
  <si>
    <t>Supplier/Vendor Management</t>
  </si>
  <si>
    <t>Bugs, Malicious codes, Ver. Control, loss of source &amp; object codes, No proper testing, Secure Coding &amp; SDLC principles not applied</t>
  </si>
  <si>
    <t>Weak password configuration, Secure Authentication not in place, Excessive and inappropriate privileges assigned to users, Generic user accounts with administrative privileges, No access rights review, No Monitoring, User account not disabled upon separation</t>
  </si>
  <si>
    <t>Data Tampering, Data Deletion,Data Leakage, No Backup</t>
  </si>
  <si>
    <t>Malfunctioning, failure, service disruption, Database corruption, Development, Test &amp; Production environment not separated</t>
  </si>
  <si>
    <t>Ver. Control, Testing processes in place, Code moved to production only after signoff, Secure Coding &amp; SDLC principles applied, Backup to storage,tapes &amp; cloud</t>
  </si>
  <si>
    <t>A.8.7
A.8.19
A.8.25
A.8.26
A.8.27
A.8.28
A.8.29
A.8.33</t>
  </si>
  <si>
    <t xml:space="preserve">H/W AMC, Backup to storage and tapes,  Hardware performance monitoring </t>
  </si>
  <si>
    <t>A.7.13
A.8.13
A.8.16</t>
  </si>
  <si>
    <t xml:space="preserve">
A.5.15
A.5.16
A.5.17
A.5.18
A.8.2
A.8.3
A.8.4
A.8.5
A.8.15
A.8.16</t>
  </si>
  <si>
    <t>Role based access, Approved Access Request Form via Helpdesk, Quarterly user access rights review, Periodic Log Monitoring &amp; Review, Audit Logs, Data backup on Tape, Storage &amp; Cloud</t>
  </si>
  <si>
    <t xml:space="preserve">
A.5.15
A.5.16
A.5.17
A.5.18
A.8.2
A.8.3
A.8.4
A.8.5
A.8.13
A.8.15
A.8.16</t>
  </si>
  <si>
    <t>Change Request Procedure, Roles &amp; Responsibility Matrix, Separation of production and test &amp; development facilities</t>
  </si>
  <si>
    <t>A.5.2
A.5.3
A.8.31
A.8.32</t>
  </si>
  <si>
    <t>Assets/Process</t>
  </si>
  <si>
    <t>Information Processing Faciltiies Security (On-prem Data Centers, IT Rooms)</t>
  </si>
  <si>
    <t>No Fire suppression System, use of flammable materials, Timely control of fire, No periodic maintenance of fire suppession equipment</t>
  </si>
  <si>
    <t>Water Leakage, Excessive Humidity</t>
  </si>
  <si>
    <t>Power feed from the single source, No UPS</t>
  </si>
  <si>
    <t>Hardware Failure/Damage, Outage, Service Disruption</t>
  </si>
  <si>
    <t>Physical Security  at the gate, CCTV, Access control system, Entry &amp; Exit alerts on email,  24X7 Monitoring from Centralized CCTV Control Room</t>
  </si>
  <si>
    <t>UPS, Quarterly UPS Failover Testing, Redundant Power Source, Backup Generator, Redundant MPLS link, Wireless Devices, Cloud based Microsoft Office 365 (including Exchange Online, Sharepoint, Teams &amp; Onedrive), IP Telephony, Azure Cloud based  Active Directory, Global Protect VPN, Zscaler (Zero Trust Network Architecture), Data Backup Tape Storage in offsite location, Altaro backup for Microsoft Office 365, Saas based Infor ERP system on AWS Cloud</t>
  </si>
  <si>
    <t>Production Data Centers/ IT Rooms not accessible</t>
  </si>
  <si>
    <t>Raised Floor, Environment Control Sensors installed in all Data Centers and threshold defined, Event alerts on email, Periodic Data Center  Maintenance conducted by 3rd Party</t>
  </si>
  <si>
    <t>Cloud based Microsoft Office 365 (including Exchange Online, Sharepoint, Teams &amp; Onedrive), IP Telephony, Azure Cloud based  Active Directory, Global Protect VPN, Zscaler (Zero Trust Network Architecture), Sectona PAM, Data Backup Tape Storage in offsite location, Altaro backup for Microsoft Office 365, Saas based Infor ERP system on AWS Cloud, Contact &amp; Coordination with Designated Local Authority (Ministry of Interior)</t>
  </si>
  <si>
    <t>IT Dept/Security/Safety</t>
  </si>
  <si>
    <t>A.5.4
A.5.5
A.7.5
A.7.6
A.8.13
A.8.14</t>
  </si>
  <si>
    <t>Fire Suppression system installed, All the material used and paint are fire rated.Ban of flammabe items kept and unattended, Periodic Checking &amp; Maintenance of Fire Suppression equipment, Contact &amp; Coordination with Designated Local Authority (Ministry of Interior)</t>
  </si>
  <si>
    <t>A.7.11
A.7.13
A.8.14</t>
  </si>
  <si>
    <t xml:space="preserve">A.5.15
A.7.1
A.7.2
A.7.3
A.7.4
A.8.3
</t>
  </si>
  <si>
    <t>A.5.15
A.5.18
A.8.1
A.8.3
A.8.5
A.8.16</t>
  </si>
  <si>
    <t>A.8.3
A.8.5
A.8.20
A.8.21
A.8.22</t>
  </si>
  <si>
    <t>A.5.15
A.5.18
A.8.3
A.8.5
A.8.16</t>
  </si>
  <si>
    <t>A.5.3
A.5.15
A.5.18
A.8.1
A.8.3
A.8.5
A.8.2
A.8.4
A.8.16</t>
  </si>
  <si>
    <t>A.5.15
A.5.18
A.6.7
A.8.1
A.8.3
A.8.5
A.8.16</t>
  </si>
  <si>
    <t>A.7.5
A.7.6
A.7.13
A.8.14</t>
  </si>
  <si>
    <t>A.5.4
A.5.5
A.7.5
A.7.6
A.7.13
A.8.14</t>
  </si>
  <si>
    <t>Business Continuity (IT Infrastructure &amp; Systems)</t>
  </si>
  <si>
    <t>AWS Cloud based  Infor ERP system with highly redundant infrastructure with a guaranteed uptime of 99.5%, Anywhere anytime access through secure credentials, Provision of laptops for all ASRY employees to connect from anywhere in case ASRY HQ is not accessible, Complete Microsoft infrastructure(including Email, SharePoint, Teams, One drive, and Domain Controller)on Microsoft Azure Cloud, Cloud-based third-party backup software for complete Microsoft services, Cloud-based IP-Telephony system for all internal landlines and access to telephone extensions through mobile, Monthly and yearly data backup tapes storage on an offsite location, Documented &amp; Approved DR Plan, Periodic data restoration testing, Contact &amp; Coordination with Designated Local Authority (Ministry of Interior)</t>
  </si>
  <si>
    <t xml:space="preserve">A.5.4
A.5.5
A.5.30
A.5.36
A.7.5
A.8.13
</t>
  </si>
  <si>
    <t xml:space="preserve">A.5.1
A.5.2
A.5.4
A.5.36
A.5.37
</t>
  </si>
  <si>
    <t>Data Leakage/Data Loss</t>
  </si>
  <si>
    <t xml:space="preserve">A.5.12
A.5.13
A.5.23
A.5.31
A.5.33
A.5.34
A.6.6
A.7.7
A.8.3
A.8.10
A.8.11
A.8.12
A.8.13
A.8.14
</t>
  </si>
  <si>
    <t>Weak Access Controls, Malware/Ransomware/Phishing attacks, Data not masked, Data not Encrypted, No Data Classification, Data Deletion, Malicious Acts, No Data Backup,  No Audit Trail, No Log Monitoring &amp; Review, Lack of Awareness, Malicious Acts, No NDA, Data in vendor custody, Data in Cloud</t>
  </si>
  <si>
    <t>3rd Party Data Data Sanitization tool, Employee Discipline Procedure (HR) ,System Audit logs, NDA, Employee Awareness through Knowbe4 Security Training &amp; Awareness platform</t>
  </si>
  <si>
    <t xml:space="preserve">
A.6.6
A.7.14
A.8.10
A.8.12</t>
  </si>
  <si>
    <t>Weak Access control, Weak Password Policy, No Session Timeout configured, No Account Lockout configured, MFA not enabled, Login from unknown locations not restricted &amp; monitored, Lack of employee awareness</t>
  </si>
  <si>
    <t>No internet connection,
Site down</t>
  </si>
  <si>
    <t>Administrator rights restricted to only 2 people in IT, Administrator audit logs, Automated server snapshot every 10 mins, Guaranteed uptime of 99.95% during the service year (SLA)</t>
  </si>
  <si>
    <t>Redundant internet connection, Redundant servers hosted in multiple geographic locations, Guaranteed uptime of 99.95% during the service year (SLA)</t>
  </si>
  <si>
    <t>No encryption for data in transit, no backup, deleted files, database corruption, Difference in Timestamp</t>
  </si>
  <si>
    <t>Ipsec to VPC encryption, Server Instance &amp; Data Isolation, TLS encryption for data in transit, Automated server snapshot every 10 mins, Data stored on cloud, Data stored in redundant locations,  Recovery of Deleted Data,  Archival &amp; Retention Policies, SLA, USe of centralized ASRY NTP</t>
  </si>
  <si>
    <t>A.8.7
A.8.8
A.8.15
A.8.16
A.8.17</t>
  </si>
  <si>
    <t>Public Cloud, No Web Application Firewall, Connections not secure, No event monitoring, No Periodic VAPT</t>
  </si>
  <si>
    <t>Virtual Private Cloud, Dedicated Secure VPN, Web Application Firewall, Zscaler ZTNA, Crowdstrike EDR, 24X7 Event Monitoring by SOC, Quarterly Vapt</t>
  </si>
  <si>
    <t>A.5.15
A.5.18
A.5.23
A.8.2
A.8.3
A.8.5
A.8.16</t>
  </si>
  <si>
    <t>A.5.23
A.8.14</t>
  </si>
  <si>
    <t xml:space="preserve">A.5.23
A.8.2
A.8.3
A.8.9
A.8.32
</t>
  </si>
  <si>
    <t>Mapping of  control numbers as per new ISO 27001:2022 standard</t>
  </si>
  <si>
    <t>Cloud Security (AWS/Infor ERP/Timetech/Matrix)</t>
  </si>
  <si>
    <t>Strong Password Policy, Password Expiry, Single Sign-on login using windows username &amp; password, Multi Factor Authentication , Conditional Access Policy enabled to restrict logins from unknown locations, Strong Access Controls, Session Timeout , Account Lockout , Virtual Private Cloud, Dedicated Secure VPN tunnel, IP based restricted access, Zscaler ZTNA, Web Application Firewall, 24X7 Event Monitoring by SOC, Employee Awareness through Knowbe4 Security Training &amp; Awareness platform</t>
  </si>
  <si>
    <t>Cloud Security (Microsoft Office 365 - Email, Sharepoint, Onedrive, Teams)</t>
  </si>
  <si>
    <t>Malicious Code,Malware, Ransomware, Phishing, Spoofing</t>
  </si>
  <si>
    <t>Dedicated Secure VPN, Web Application Firewall, Zscaler ZTNA, Azure Information Protection, Exchange Online Protection, Advanced Threat Protection,Crowdstrike EDR, SPF Record Published,  Knowbe4 Phish Alert Addin to report phishing emails, Knowbe4 PhishER solution to classify, categorize and block phishing emails, 24X7 Event Monitoring by SOC, Quarterly VAPT, Employee Awareness through email campaigns and KNowbe4 Simulated Phishing Campaign module</t>
  </si>
  <si>
    <t>Public Cloud, No Web Application Firewall, Connections not secure, No email filtering, SPF Record not published,  No event monitoring, No Periodic VAPT, Lack of Awareness</t>
  </si>
  <si>
    <t>IT Infrastructure Security (Servers &amp; Databases)</t>
  </si>
  <si>
    <t>A.5.15
A.5.16
A.5.17
A.5.18
A.8.2
A.8.3
A.8.4
A.8.5
A.8.13
A.8.15
A.8.16</t>
  </si>
  <si>
    <t>IT Dept/HR</t>
  </si>
  <si>
    <t xml:space="preserve">A.5.2
A.5.3
A.5.10
A.6.1
A.6.2
A.6.3
A.6.4
A.6.5
A.6.6
A.8.3
A.8.10
A.8.12
A.8.15
A.8.16
</t>
  </si>
  <si>
    <t>Information Security Incident Management</t>
  </si>
  <si>
    <t>A.5.23
A.5.33
A.5.34
A.8.10
A.8.11
A.8.12
A.8.13
A.8.17</t>
  </si>
  <si>
    <t>System non-availability, lack of access to ASRY premises, no data backup, No documented DR Plan plan</t>
  </si>
  <si>
    <t>Delay/Non Reporting of IT Incidents</t>
  </si>
  <si>
    <t xml:space="preserve">A.5.2
A.5.3
A.5.24
A.5.36
A.5.37
A.6.8
</t>
  </si>
  <si>
    <t>Delay in Incident Response</t>
  </si>
  <si>
    <t>No Documented IT Incident Management Policy &amp; Procedures, No defined IT Incident reporting channel,  IT Incident Management Policies &amp; Procedures not communicated to end users, Incident Reporting Responsibilities not defined, No Periodic Review of Incident Management Procedures, No event monitoring</t>
  </si>
  <si>
    <t>Lack of Defined Incident Response Procedure, Incorrect Incident Categorization, Incident Response Roles &amp; Responsibilities not defined, No incident auto detection &amp; response policies configured in IT systems, Lack of proper/adequate event logs</t>
  </si>
  <si>
    <t>Reoccurance of IT Incidents</t>
  </si>
  <si>
    <t>Records/Evidences of IT Incidents not stored, Lessons learnt from previous incidents not documented, No Centralized Repository for Incident related data, No periodic review, No contact/coordination/data sharing with relevant external parteis</t>
  </si>
  <si>
    <t>A.5.1
A.5.5
A.5.6
A.5.7
A.5.23
A.5.26
A.5.29
A.5.33
A.5.34
A.5.35
A.5.36
A.8.3
A.8.7
A.8.8
A.8.12
A.8.20
A.8.21
A.8.34</t>
  </si>
  <si>
    <t>All IT Incident related data is logged &amp; stored in the Helpdesk system, Incidents detected by SOC are logged in their system and immediately reported via email to ASRY, Monthly Review with SOC team for all IT Incidents reported, Contact with external authorities like NCSC for Cybersecurity &amp; Threat Intelligence data sharing, Affiliation with ISACA</t>
  </si>
  <si>
    <t>A.5.5
A.5.6
A.5.27
A.5.28</t>
  </si>
  <si>
    <t>A.5.15
A.7.8
A.8.3
A.8.5
A.8.20
A.8.21
A.8.22</t>
  </si>
  <si>
    <t>A.7.3
A.7.4
A.7.8
A.8.20</t>
  </si>
  <si>
    <t>A.5.9
A.5.10
A.5.11
A.7.3
A.7.8
A.7.9</t>
  </si>
  <si>
    <t>Almost CERTAIN to occur in most circumstances</t>
  </si>
  <si>
    <t>LIKELY to occur frequently</t>
  </si>
  <si>
    <t>POSSIBLE &amp; likely to occur at some time</t>
  </si>
  <si>
    <t>Moderate</t>
  </si>
  <si>
    <t>UNLIKELY to occur but could happen</t>
  </si>
  <si>
    <t>May occur but only in RARE &amp; exceptional circumstances</t>
  </si>
  <si>
    <t>Major</t>
  </si>
  <si>
    <t>Minor</t>
  </si>
  <si>
    <t>Insignificant</t>
  </si>
  <si>
    <t>CONSEQUENCES</t>
  </si>
  <si>
    <t>Insignificant (1)</t>
  </si>
  <si>
    <t>Moderate (3)</t>
  </si>
  <si>
    <t>Catastrophic (5)</t>
  </si>
  <si>
    <t>LIKELIHOOD</t>
  </si>
  <si>
    <t>May occur but only in RARE &amp; exceptional circumstances (1)</t>
  </si>
  <si>
    <t>UNLIKELY to occur but could happen 
(2)</t>
  </si>
  <si>
    <t>POSSIBLE &amp; likely to occur at some time 
(3)</t>
  </si>
  <si>
    <t>LIKELY to occur frequently 
(4)</t>
  </si>
  <si>
    <t>Almost CERTAIN to occur in most circumstances 
(5)</t>
  </si>
  <si>
    <t>RISK ASSESSMENT GUIDE</t>
  </si>
  <si>
    <t>Minor 
(2)</t>
  </si>
  <si>
    <t>Major 
(4)</t>
  </si>
  <si>
    <t>Unacceptable Risk. Mitigation Required</t>
  </si>
  <si>
    <t>Risk Rating Categorization</t>
  </si>
  <si>
    <t>Acceptable only if no other method viable and with high level controls in place</t>
  </si>
  <si>
    <t>Acceptable with suitable controls</t>
  </si>
  <si>
    <t>Negligible Impact</t>
  </si>
  <si>
    <t>Moderate (2)</t>
  </si>
  <si>
    <t>CIA Score</t>
  </si>
  <si>
    <t>Risk Score</t>
  </si>
  <si>
    <t>Residual Risk Score</t>
  </si>
  <si>
    <t>Mohammed Al Sharqawy</t>
  </si>
  <si>
    <t>Negligible (Risk Score &lt;100)</t>
  </si>
  <si>
    <t>Low (Risk Score between 100-500)</t>
  </si>
  <si>
    <t>Moderate (Risk Score between 500-750)</t>
  </si>
  <si>
    <t>High (Risk Score &gt;750)</t>
  </si>
  <si>
    <t>General lT Resource Security (People)</t>
  </si>
  <si>
    <t>Hardware Failure, Old Network</t>
  </si>
  <si>
    <t>H/W AMC &amp; Warranty, Secure printing from any machine</t>
  </si>
  <si>
    <t>Employee Awareness through Knowbe4 Security Training &amp; Awareness platform, Employee Acknowldgement on IT Asset terms &amp; conditions in helpdesk portal, Access Control System, Physical Security Controls, CCTV, Gatepass, Device Insurance, All IT assets labelled, IT Asset List maintained, Hard Disk Encryption with Bitlocker, Intune Wipe, Final Clearance Form signed by IT only upon return of assigned IT assets</t>
  </si>
  <si>
    <t>Intune Wipe, 3rd Party Data Data Sanitization tool, Employee Discipline Procedure (HR) ,System Audit logs, NDA, Employee Awareness through Knowbe4 Security Training &amp; Awareness platform</t>
  </si>
  <si>
    <t>Access Control Devices, Centralized 24X7 CCTV Monitoring, Data Backup, Isolated Network, High Availability of Storage</t>
  </si>
  <si>
    <t>Change Management procedure, Roles &amp; Responsibility Matrix, Changes done using Sectona PAM login, Recorded Sessions</t>
  </si>
  <si>
    <t>Defined configuration management policy &amp; procedures,defined role &amp; responsibility matrix for configuration changes, Changes done through Sectona login, Recorded Sessions</t>
  </si>
  <si>
    <t>Data Security</t>
  </si>
  <si>
    <t>Changes done using Sectona PAM login, Recorded Sessions, Administrator rights restricted to only 2 people in IT, Administrator audit logs, Guaranteed uptime of 99.95% during the service year (SLA)</t>
  </si>
  <si>
    <t>General IT Resource Security (People)</t>
  </si>
  <si>
    <t xml:space="preserve">H/W AMC, Backup to storage and tapes,  Hardware performance monitoring, Nutanix Hyperconverged setup with High Availability, </t>
  </si>
  <si>
    <t xml:space="preserve">User Access &amp; Rights granted based on Dept Approval, User access blocked/removed upon receipt of Final Clearance Form from HR Dept, Privileged Access restricted through Sectona PAM, Disciplinary action as per HR Policy, 24X7 Event Monitoring by SOC, Periodic User Access rights review, Employee Awareness through Knowbe4 Security Training &amp; Awareness platform, </t>
  </si>
  <si>
    <t>20.05.2024</t>
  </si>
  <si>
    <t>IT SENIOR MANAGER (A)</t>
  </si>
  <si>
    <t>SHAIKH MOHAMED RASHED ABDULRAHMAN AL KHALIFA</t>
  </si>
  <si>
    <t xml:space="preserve"> Incorrect/Excessive Access Rights given, Access rights not revoked upon seperation, Lack of employee awareness, No Disciplinary Action Defined, No Access Rights Review, Inadequate Background Screening</t>
  </si>
  <si>
    <t>Data Deletion, Malicious Acts, No Background Check, No Confidentiality/NDA undertaking, No Disciplinary Action Defined, Information Security responsibilities upon joining &amp; separation not included in employment contract,   Lack of Awareness, Inadequate Background Screening</t>
  </si>
  <si>
    <t>Data stored on cloud (AWS, Onedrive,Sharepoint), Data stored in redundant locations, Recovery of Deleted Data, Azure Data Loss Prevention, Archival &amp; Retention Policies,Altaro Office 365 Backup, Background check conducted by HR Dept, Information Security Undertaking, Employment Contract, Information Security Undertaking, Defined Roles &amp; Responsibilities, Disciplinary action as per HR Policy, Employee Awareness through Knowbe4 Security Training &amp; Awareness platform, 24X7 Event Monitoring by SOC, Thoroush background screening by HR team</t>
  </si>
  <si>
    <t>Documented IT Incident Management &amp; Response Policy, Centralized IT  Incidentmanagement through Helpdesk system, Defined roles &amp; responsibilities for IT Incident Management, System policies for auto detection &amp; response of incidents (Crowdstrike EDR, Palo Alto Firewall with IDS &amp; IPS, Fortigate Network Firewall, Zscaler ZTNA, Sectona PAM, Knowbe4 Phish Alert, Microsoft Intune, ATP &amp; AIP), 24X7 SOC, horoush background screening by HR team</t>
  </si>
  <si>
    <t>A.5.15
A.5.18
A.6.1
A.6.2
A.6.3
A.6.4
A.6.5
A.8.3
A.8.5
A.8.15
A.8.16</t>
  </si>
  <si>
    <t xml:space="preserve">A.5.2
A.5.3
A.5.25
A.5.26
A.5.37
A.6.8
</t>
  </si>
  <si>
    <t>No Antivirus, No backup mechanism,
No patch management,No clear desk &amp; clear screen policy, shoulder surfing</t>
  </si>
  <si>
    <t>26.11.2024</t>
  </si>
  <si>
    <t>Documented IT Incident Management Policy, Centralized IT  Incident reporting through Helpdesk system, Defined roles &amp; responsibilities for IT Incident Reporting, Periodic review of policies and procedures, Version control through quality index,  IT Incident Management policy document available on Centralized Repository (Quality Index) for end users, 24X7 event &amp; log monitoring by SOC, integration with NCSC SIEM</t>
  </si>
  <si>
    <t>Role based access, Approved Access Request Form via Helpdesk, Quarterly user access rights review, Periodic Log Monitoring &amp; Review, Audit Logs, Data backup on Tape, Storage &amp; Cloud, Halcyon anti ransomeware tool</t>
  </si>
  <si>
    <t>Strong password policy,Secure Authentication through SSO &amp; MFA, Password Expiry, Session Timeout, Account Lockout, User account disbaled upon separation, Privileged access given based on approval as per defined roles &amp; responsibility matrix, Generic accounts disabled, Sectona PAM,  Quarterly user access rights review, Periodic Log Monitoring &amp; Review, Audit Logs, Role Based Access, 24X7 Event monitoring by SOC, Integration with NCSC SIEM, Darktrace NDR</t>
  </si>
  <si>
    <t>Strong password policy,Secure Authentication through SSO &amp; MFA, Password Expiry, Session Timeout, Account Lockout, User account disbaled upon separation, Privileged access given based on approval as per defined roles &amp; responsibility matrix, Generic accounts disabled from applications, Quarterly user access rights review, Periodic Log Monitoring &amp; Review, Audit Logs, Role Based Access for ERP (DEM), 24X7 Event monitoring by SOC, Integration with NCSC SIEM, Darktrace NDR</t>
  </si>
  <si>
    <t>Data stored on cloud, Data stored in redundant locations, Recovery of Deleted Data, Azure Data Loss Prevention, Azure Information Protection, Archival &amp; Retention Policies,Altaro Office 365 Backup, Clear Screen &amp; Clear Desk policy, Employee Awareness through Knowbe4 Security Training &amp; Awareness platform, Darktrace DLP, Halcyon anti ransomeware tool</t>
  </si>
  <si>
    <t>Strong Password Policy, Multi Factor Authentication enabled &amp; mandatory, Conditional Access Policy enabled on Office 365, Strong Access Controls, Session Timeout Configured, Account Lockout Configured, Traffic routed through Zscaler web firewall (user unable to connect to ASRY applications if no Zcaler client is installed), 24X7 Event Monitoring by SOC, Employee Awareness through Knowbe4 Security Training &amp; Awareness platform, Darktrace IDM</t>
  </si>
  <si>
    <t>Palo Alto NGFW with IDS &amp; IPS, Crowdstrike Endpoint Detection &amp; Response system,  Microsoft Office 365 with ATP for email security, Knowbe4 Phish Alert &amp; PhishER solution to prevent phishing, Microsoft Intune  Patch Management system,  ISO 27001:2022 information security framework , End-to-end Managed Security Services solution to detect, isolate, respond, and prevent cybersecurity incidents, Periodic information Security awareness campaigns for all users , Knowbe4 Security Training &amp; Awareness software, Periodic VAPT, Periodic internal and external audits ensuring adequate controls are in place to comply with required standards and industry best practices, Segregation of network and using VLAN's &amp; secure VPN tunnels, Strong password policies, Multi Factor Authentication, Log monitoring and review, Office 365 backup, Sectona PAM, Contact with external authorities like NCSC for Cybersecurity &amp; Threat Intelligence data sharing &amp; participation in national cyber drills, Affiliation with ISACA, Integration with NCSC SIEM, Darktrace- Email Security, DLP, NDR &amp; IDM, Halcyon anti ransomware tool</t>
  </si>
  <si>
    <t>Crowdstrike EDR (Antivirus), Palo Alto NGFW with IDS &amp; IPS, Fortigate Network Firewall, Zscaler web firewall &amp; Zero Trust Network Architecture, Automatic patch updation through Microsoft Intune, Latest Windows OS version, Employee Awareness through Knowbe4 Security Training &amp; Awareness platform, Halcyon anti ransomware tool</t>
  </si>
  <si>
    <t>Strong Password Policy, Multi Factor Authentication enabled &amp; mandatory, Conditional Access Policy enabled on Office 365, Strong Access Controls, Session Timeout Configured, Account Lockout Configured, 24X7 Event Monitoring by SOC, Employee Awareness through Knowbe4 Security Training &amp; Awareness platform, Darktrace IDM</t>
  </si>
  <si>
    <t>Data stored on cloud, Data stored in redundant locations, Recovery of Deleted Data, Azure Data Loss Prevention, Azure Information Protection, Archival &amp; Retention Policies,Altaro Office 365 Backup, Hard Disk Encryption with Bitlocker, Intune Wipe, Clear Screen &amp; Clear Desk policy, Employee Awareness through Knowbe4 Security Training &amp; Awareness platform, Darktrace DLP, Bitraser Data Sanitization</t>
  </si>
  <si>
    <t>Network segregation through VLAN's, Secure VPN Tunnels, Palo Alto NGFW with IDS &amp; IPS, Fortigate Network Firewall, Firmware upgrade, All network devices encrypted, Network Traffic routed through Zscaler ZTNA, 24X7 log monitoring by STC SOC, Quarterly VAPT conducted, Integration with NCSC SIEM, Darktrace NDR</t>
  </si>
  <si>
    <t>Crowdstrike EDR (Antivirus),  Windows Firewall Enabled, Zscaler web firewall &amp; Zero Trust Network Architecture, Automatic patch updation through Microsoft Intune, Latest Windows OS version, Office365 &amp; ERP are Saas based and security managed by Infor &amp; Microsoft, Employee Awareness through Knowbe4 Security Training &amp; Awareness platform, Darktrace IDM, Halcyon anto ransomware tool</t>
  </si>
  <si>
    <t>Data stored on cloud (AWS, Onedrive,Sharepoint), Data stored in redundant locations, Recovery of Deleted Data, Azure Data Loss Prevention, Azure Information Protection (Information Classification/Labelling), Archival &amp; Retention Policies,Altaro Office 365 Backup, Hard Disk Encryption with Bitlocker, Intune Wipe, Clear Screen &amp; Clear Desk policy, Employee Awareness through Knowbe4 Security Training &amp; Awareness platform, Contractual agreements and NDA with 3rd party vendors, Data Encryption in Transit &amp; at Rest, Data Masking, Redundant Data Backup on Tapes, Storage &amp; Cloud, 24X7 Event Monitoring by SOC, Bitraser Data Sanitization Tool, Darktrace IDM &amp; DLP, Halcyon anti ransomeware</t>
  </si>
  <si>
    <t>Strong Password Policy, Password Expiry, Single Sign-on login using windows username &amp; password, Multi Factor Authentication , Conditional Access Policy enabled to restrict logins from unknown locations, Strong Access Controls, Session Timeout , Account Lockout , Dedicated Secure VPN tunnel, Zscaler ZTNA, 24X7 Event Monitoring by SOC, Employee Awareness through Knowbe4 Security Training &amp; Awareness platform, Darktrace IDM</t>
  </si>
  <si>
    <t>Ipsec to VPC encryption, Server Instance &amp; Data Isolation, TLS encryption for data in transit, Data stored on cloud, Data stored in redundant locations,  Recovery of Deleted Data,  Archival &amp; Retention Policies, Azure Data Loss Prevention,  SLA, Altaro Office 365 Backup, Use of centralized ASRY NTP, Darktrace Email Security &amp; DLP</t>
  </si>
  <si>
    <t>Documented IT policy and procedure documents, Periodic reviews of policies and procedures, Version control through quality index, Policy &amp; Procedure documents updated on quality index by Mgt Audit Dept only after signoff from Management, All documents available on Centralized Repository (Quality Index) for end users, SwissGRC tool</t>
  </si>
  <si>
    <t>Risk Profile - Prior to Controls (2025)</t>
  </si>
  <si>
    <t>Risk Profile - After controls (2025)</t>
  </si>
  <si>
    <t>16.07.2025</t>
  </si>
  <si>
    <t>Reviewed By</t>
  </si>
  <si>
    <t>IT Asset Management</t>
  </si>
  <si>
    <t>Network Infrastructure Management</t>
  </si>
  <si>
    <t>Cybersecurity of Information Technology Systems</t>
  </si>
  <si>
    <t>Cloud Security</t>
  </si>
  <si>
    <t>16/07/2025</t>
  </si>
  <si>
    <t>17/07/2025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</si>
</sst>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b/>
      <sz val="14"/>
      <name val="Comic Sans MS"/>
      <family val="4"/>
    </font>
    <font>
      <sz val="12"/>
      <color indexed="9"/>
      <name val="Comic Sans MS"/>
      <family val="4"/>
    </font>
    <font>
      <sz val="10"/>
      <name val="Comic Sans MS"/>
      <family val="4"/>
    </font>
    <font>
      <sz val="12"/>
      <name val="Comic Sans MS"/>
      <family val="4"/>
    </font>
    <font>
      <sz val="9"/>
      <name val="Comic Sans MS"/>
      <family val="4"/>
    </font>
    <font>
      <sz val="10"/>
      <color indexed="9"/>
      <name val="Comic Sans MS"/>
      <family val="4"/>
    </font>
    <font>
      <sz val="8"/>
      <name val="Comic Sans MS"/>
      <family val="4"/>
    </font>
    <font>
      <b/>
      <sz val="14"/>
      <name val="Arial"/>
      <family val="2"/>
    </font>
    <font>
      <sz val="12"/>
      <name val="Arial"/>
      <family val="2"/>
    </font>
    <font>
      <b/>
      <sz val="12"/>
      <name val="Arial"/>
      <family val="2"/>
    </font>
    <font>
      <sz val="11"/>
      <name val="Frutiger LT 55 Roman"/>
    </font>
    <font>
      <b/>
      <sz val="10"/>
      <color indexed="9"/>
      <name val="Frutiger LT 55 Roman"/>
      <family val="2"/>
    </font>
    <font>
      <b/>
      <sz val="10"/>
      <color indexed="9"/>
      <name val="Frutiger LT 55 Roman"/>
    </font>
    <font>
      <sz val="10"/>
      <color indexed="9"/>
      <name val="Frutiger LT 55 Roman"/>
    </font>
    <font>
      <sz val="10"/>
      <name val="Frutiger LT 55 Roman"/>
      <family val="2"/>
    </font>
    <font>
      <b/>
      <sz val="10"/>
      <name val="Frutiger LT 55 Roman"/>
    </font>
    <font>
      <sz val="14"/>
      <name val="Arial"/>
      <family val="2"/>
    </font>
    <font>
      <sz val="14"/>
      <name val="AGaramond"/>
    </font>
    <font>
      <sz val="14"/>
      <name val="Times New Roman"/>
      <family val="1"/>
    </font>
    <font>
      <sz val="14"/>
      <name val="AGaramond"/>
      <family val="1"/>
    </font>
    <font>
      <b/>
      <sz val="10"/>
      <name val="Arial"/>
      <family val="2"/>
    </font>
    <font>
      <b/>
      <sz val="10"/>
      <name val="MS Sans Serif"/>
      <family val="2"/>
    </font>
    <font>
      <b/>
      <sz val="14"/>
      <color indexed="9"/>
      <name val="Arial"/>
      <family val="2"/>
    </font>
    <font>
      <b/>
      <u/>
      <sz val="11"/>
      <color theme="1"/>
      <name val="Calibri"/>
      <family val="2"/>
      <scheme val="minor"/>
    </font>
    <font>
      <sz val="10"/>
      <color theme="1"/>
      <name val="Calibri"/>
      <family val="2"/>
      <scheme val="minor"/>
    </font>
    <font>
      <sz val="10"/>
      <name val="Calibri"/>
      <family val="2"/>
    </font>
    <font>
      <b/>
      <sz val="11"/>
      <color theme="0"/>
      <name val="Arial"/>
      <family val="2"/>
    </font>
    <font>
      <sz val="11"/>
      <color theme="1"/>
      <name val="Arial"/>
      <family val="2"/>
    </font>
    <font>
      <b/>
      <sz val="10"/>
      <color theme="0"/>
      <name val="Arial"/>
      <family val="2"/>
    </font>
    <font>
      <b/>
      <sz val="10"/>
      <color theme="0"/>
      <name val="Calibri"/>
      <family val="2"/>
      <scheme val="minor"/>
    </font>
    <font>
      <b/>
      <sz val="10"/>
      <color theme="0"/>
      <name val="Calibri"/>
      <family val="2"/>
    </font>
    <font>
      <sz val="11"/>
      <name val="Arial"/>
      <family val="2"/>
    </font>
    <font>
      <b/>
      <u/>
      <sz val="11"/>
      <name val="Arial"/>
      <family val="2"/>
    </font>
    <font>
      <u/>
      <sz val="14"/>
      <color theme="1"/>
      <name val="Calibri"/>
      <family val="2"/>
      <scheme val="minor"/>
    </font>
    <font>
      <b/>
      <u/>
      <sz val="14"/>
      <color theme="1"/>
      <name val="Calibri"/>
      <family val="2"/>
      <scheme val="minor"/>
    </font>
    <font>
      <sz val="14"/>
      <color theme="1"/>
      <name val="Calibri"/>
      <family val="2"/>
      <scheme val="minor"/>
    </font>
    <font>
      <b/>
      <sz val="14"/>
      <color theme="1"/>
      <name val="Calibri"/>
      <family val="2"/>
      <scheme val="minor"/>
    </font>
    <font>
      <b/>
      <sz val="11"/>
      <color theme="1"/>
      <name val="Calibri"/>
      <family val="2"/>
      <scheme val="minor"/>
    </font>
    <font>
      <sz val="11"/>
      <name val="Calibri"/>
      <family val="2"/>
      <scheme val="minor"/>
    </font>
    <font>
      <b/>
      <sz val="14"/>
      <color theme="1"/>
      <name val="Arial"/>
      <family val="2"/>
    </font>
    <font>
      <b/>
      <sz val="14"/>
      <color theme="0"/>
      <name val="Arial"/>
      <family val="2"/>
    </font>
    <font>
      <sz val="14"/>
      <color theme="0"/>
      <name val="Arial"/>
      <family val="2"/>
    </font>
    <font>
      <sz val="14"/>
      <color theme="1"/>
      <name val="Arial"/>
      <family val="2"/>
    </font>
  </fonts>
  <fills count="37">
    <fill>
      <patternFill patternType="none"/>
    </fill>
    <fill>
      <patternFill patternType="gray125"/>
    </fill>
    <fill>
      <patternFill patternType="solid">
        <fgColor indexed="51"/>
        <bgColor indexed="64"/>
      </patternFill>
    </fill>
    <fill>
      <patternFill patternType="solid">
        <fgColor indexed="44"/>
        <bgColor indexed="64"/>
      </patternFill>
    </fill>
    <fill>
      <patternFill patternType="solid">
        <fgColor indexed="54"/>
        <bgColor indexed="64"/>
      </patternFill>
    </fill>
    <fill>
      <patternFill patternType="solid">
        <fgColor indexed="9"/>
        <bgColor indexed="64"/>
      </patternFill>
    </fill>
    <fill>
      <patternFill patternType="solid">
        <fgColor indexed="29"/>
        <bgColor indexed="64"/>
      </patternFill>
    </fill>
    <fill>
      <patternFill patternType="solid">
        <fgColor indexed="19"/>
        <bgColor indexed="64"/>
      </patternFill>
    </fill>
    <fill>
      <patternFill patternType="solid">
        <fgColor indexed="49"/>
        <bgColor indexed="64"/>
      </patternFill>
    </fill>
    <fill>
      <patternFill patternType="solid">
        <fgColor indexed="42"/>
        <bgColor indexed="64"/>
      </patternFill>
    </fill>
    <fill>
      <patternFill patternType="solid">
        <fgColor indexed="53"/>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1"/>
        <bgColor indexed="64"/>
      </patternFill>
    </fill>
    <fill>
      <patternFill patternType="solid">
        <fgColor indexed="47"/>
        <bgColor indexed="64"/>
      </patternFill>
    </fill>
    <fill>
      <patternFill patternType="solid">
        <fgColor indexed="45"/>
        <bgColor indexed="64"/>
      </patternFill>
    </fill>
    <fill>
      <patternFill patternType="solid">
        <fgColor indexed="50"/>
        <bgColor indexed="64"/>
      </patternFill>
    </fill>
    <fill>
      <patternFill patternType="solid">
        <fgColor indexed="12"/>
        <bgColor indexed="64"/>
      </patternFill>
    </fill>
    <fill>
      <patternFill patternType="solid">
        <fgColor indexed="46"/>
        <bgColor indexed="64"/>
      </patternFill>
    </fill>
    <fill>
      <patternFill patternType="solid">
        <fgColor indexed="61"/>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3" tint="0.39997558519241921"/>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FC000"/>
        <bgColor indexed="64"/>
      </patternFill>
    </fill>
    <fill>
      <patternFill patternType="solid">
        <fgColor rgb="FF00FF00"/>
        <bgColor indexed="64"/>
      </patternFill>
    </fill>
    <fill>
      <patternFill patternType="solid">
        <fgColor rgb="FF92D050"/>
        <bgColor indexed="64"/>
      </patternFill>
    </fill>
  </fills>
  <borders count="5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s>
  <cellStyleXfs count="2">
    <xf numFmtId="0" fontId="0" fillId="0" borderId="0"/>
    <xf numFmtId="0" fontId="11" fillId="0" borderId="0"/>
  </cellStyleXfs>
  <cellXfs count="395">
    <xf numFmtId="0" fontId="0" fillId="0" borderId="0" xfId="0"/>
    <xf numFmtId="0" fontId="3" fillId="0" borderId="0" xfId="0" applyFont="1"/>
    <xf numFmtId="0" fontId="10" fillId="0" borderId="14" xfId="0" applyFont="1" applyBorder="1" applyAlignment="1">
      <alignment horizontal="center"/>
    </xf>
    <xf numFmtId="0" fontId="10" fillId="0" borderId="16" xfId="0" applyFont="1" applyBorder="1" applyAlignment="1">
      <alignment horizontal="center"/>
    </xf>
    <xf numFmtId="0" fontId="9" fillId="0" borderId="19" xfId="0" applyFont="1" applyBorder="1"/>
    <xf numFmtId="0" fontId="0" fillId="5" borderId="0" xfId="0" applyFill="1"/>
    <xf numFmtId="0" fontId="9" fillId="0" borderId="0" xfId="0" applyFont="1" applyAlignment="1">
      <alignment horizontal="center"/>
    </xf>
    <xf numFmtId="0" fontId="0" fillId="0" borderId="0" xfId="0" applyAlignment="1">
      <alignment horizontal="centerContinuous"/>
    </xf>
    <xf numFmtId="0" fontId="9" fillId="0" borderId="17" xfId="0" applyFont="1" applyBorder="1" applyAlignment="1">
      <alignment horizontal="center"/>
    </xf>
    <xf numFmtId="0" fontId="9" fillId="0" borderId="20" xfId="0" applyFont="1" applyBorder="1" applyAlignment="1">
      <alignment horizontal="center"/>
    </xf>
    <xf numFmtId="0" fontId="9" fillId="0" borderId="22" xfId="0" applyFont="1" applyBorder="1"/>
    <xf numFmtId="0" fontId="11" fillId="5" borderId="0" xfId="1" applyFill="1"/>
    <xf numFmtId="0" fontId="13" fillId="7" borderId="6" xfId="1" applyFont="1" applyFill="1" applyBorder="1"/>
    <xf numFmtId="0" fontId="14" fillId="7" borderId="8" xfId="1" applyFont="1" applyFill="1" applyBorder="1"/>
    <xf numFmtId="0" fontId="15" fillId="7" borderId="9" xfId="1" applyFont="1" applyFill="1" applyBorder="1"/>
    <xf numFmtId="0" fontId="15" fillId="5" borderId="26" xfId="1" applyFont="1" applyFill="1" applyBorder="1" applyAlignment="1">
      <alignment horizontal="left" wrapText="1"/>
    </xf>
    <xf numFmtId="0" fontId="15" fillId="5" borderId="27" xfId="1" applyFont="1" applyFill="1" applyBorder="1" applyAlignment="1">
      <alignment horizontal="left" wrapText="1"/>
    </xf>
    <xf numFmtId="0" fontId="15" fillId="7" borderId="11" xfId="1" applyFont="1" applyFill="1" applyBorder="1"/>
    <xf numFmtId="0" fontId="15" fillId="5" borderId="28" xfId="1" applyFont="1" applyFill="1" applyBorder="1" applyAlignment="1">
      <alignment horizontal="left" wrapText="1"/>
    </xf>
    <xf numFmtId="0" fontId="16" fillId="8" borderId="6" xfId="1" applyFont="1" applyFill="1" applyBorder="1"/>
    <xf numFmtId="0" fontId="15" fillId="8" borderId="8" xfId="1" applyFont="1" applyFill="1" applyBorder="1" applyAlignment="1">
      <alignment horizontal="left" wrapText="1"/>
    </xf>
    <xf numFmtId="0" fontId="15" fillId="8" borderId="9" xfId="1" applyFont="1" applyFill="1" applyBorder="1"/>
    <xf numFmtId="0" fontId="15" fillId="8" borderId="11" xfId="1" applyFont="1" applyFill="1" applyBorder="1"/>
    <xf numFmtId="0" fontId="16" fillId="9" borderId="6" xfId="1" applyFont="1" applyFill="1" applyBorder="1"/>
    <xf numFmtId="0" fontId="15" fillId="9" borderId="8" xfId="1" applyFont="1" applyFill="1" applyBorder="1" applyAlignment="1">
      <alignment horizontal="left" wrapText="1"/>
    </xf>
    <xf numFmtId="0" fontId="15" fillId="9" borderId="9" xfId="1" applyFont="1" applyFill="1" applyBorder="1"/>
    <xf numFmtId="0" fontId="15" fillId="9" borderId="11" xfId="1" applyFont="1" applyFill="1" applyBorder="1"/>
    <xf numFmtId="0" fontId="16" fillId="10" borderId="6" xfId="1" applyFont="1" applyFill="1" applyBorder="1"/>
    <xf numFmtId="0" fontId="15" fillId="10" borderId="8" xfId="1" applyFont="1" applyFill="1" applyBorder="1" applyAlignment="1">
      <alignment horizontal="left" wrapText="1"/>
    </xf>
    <xf numFmtId="0" fontId="15" fillId="10" borderId="9" xfId="1" applyFont="1" applyFill="1" applyBorder="1"/>
    <xf numFmtId="0" fontId="15" fillId="10" borderId="11" xfId="1" applyFont="1" applyFill="1" applyBorder="1"/>
    <xf numFmtId="0" fontId="16" fillId="4" borderId="6" xfId="1" applyFont="1" applyFill="1" applyBorder="1"/>
    <xf numFmtId="0" fontId="15" fillId="4" borderId="8" xfId="1" applyFont="1" applyFill="1" applyBorder="1" applyAlignment="1">
      <alignment horizontal="left" wrapText="1"/>
    </xf>
    <xf numFmtId="0" fontId="15" fillId="4" borderId="9" xfId="1" applyFont="1" applyFill="1" applyBorder="1"/>
    <xf numFmtId="0" fontId="15" fillId="4" borderId="11" xfId="1" applyFont="1" applyFill="1" applyBorder="1"/>
    <xf numFmtId="0" fontId="16" fillId="11" borderId="6" xfId="1" applyFont="1" applyFill="1" applyBorder="1"/>
    <xf numFmtId="0" fontId="15" fillId="11" borderId="8" xfId="1" applyFont="1" applyFill="1" applyBorder="1" applyAlignment="1">
      <alignment horizontal="left" wrapText="1"/>
    </xf>
    <xf numFmtId="0" fontId="15" fillId="11" borderId="9" xfId="1" applyFont="1" applyFill="1" applyBorder="1"/>
    <xf numFmtId="0" fontId="15" fillId="11" borderId="11" xfId="1" applyFont="1" applyFill="1" applyBorder="1"/>
    <xf numFmtId="0" fontId="16" fillId="12" borderId="6" xfId="1" applyFont="1" applyFill="1" applyBorder="1"/>
    <xf numFmtId="0" fontId="15" fillId="12" borderId="8" xfId="1" applyFont="1" applyFill="1" applyBorder="1" applyAlignment="1">
      <alignment horizontal="left" wrapText="1"/>
    </xf>
    <xf numFmtId="0" fontId="15" fillId="12" borderId="9" xfId="1" applyFont="1" applyFill="1" applyBorder="1"/>
    <xf numFmtId="0" fontId="15" fillId="12" borderId="11" xfId="1" applyFont="1" applyFill="1" applyBorder="1"/>
    <xf numFmtId="0" fontId="17" fillId="5" borderId="0" xfId="0" applyFont="1" applyFill="1"/>
    <xf numFmtId="0" fontId="17" fillId="0" borderId="0" xfId="0" applyFont="1"/>
    <xf numFmtId="0" fontId="18" fillId="5" borderId="0" xfId="0" applyFont="1" applyFill="1"/>
    <xf numFmtId="0" fontId="8" fillId="5" borderId="0" xfId="0" applyFont="1" applyFill="1" applyAlignment="1">
      <alignment horizontal="center" vertical="center"/>
    </xf>
    <xf numFmtId="12" fontId="8" fillId="13" borderId="18" xfId="0" applyNumberFormat="1" applyFont="1" applyFill="1" applyBorder="1" applyAlignment="1">
      <alignment horizontal="center" vertical="center" wrapText="1"/>
    </xf>
    <xf numFmtId="0" fontId="19" fillId="5" borderId="0" xfId="0" applyFont="1" applyFill="1"/>
    <xf numFmtId="0" fontId="19" fillId="5" borderId="0" xfId="0" applyFont="1" applyFill="1" applyAlignment="1">
      <alignment horizontal="center" vertical="center"/>
    </xf>
    <xf numFmtId="12" fontId="8" fillId="2" borderId="18" xfId="0" applyNumberFormat="1" applyFont="1" applyFill="1" applyBorder="1" applyAlignment="1">
      <alignment horizontal="center" vertical="center" wrapText="1"/>
    </xf>
    <xf numFmtId="12" fontId="8" fillId="14" borderId="18" xfId="0" applyNumberFormat="1" applyFont="1" applyFill="1" applyBorder="1" applyAlignment="1">
      <alignment horizontal="center" vertical="center" wrapText="1"/>
    </xf>
    <xf numFmtId="0" fontId="19" fillId="5" borderId="0" xfId="0" applyFont="1" applyFill="1" applyAlignment="1">
      <alignment vertical="center"/>
    </xf>
    <xf numFmtId="0" fontId="8" fillId="5" borderId="0" xfId="0" applyFont="1" applyFill="1" applyAlignment="1">
      <alignment horizontal="center" vertical="center" wrapText="1"/>
    </xf>
    <xf numFmtId="0" fontId="8" fillId="5" borderId="0" xfId="0" applyFont="1" applyFill="1" applyAlignment="1">
      <alignment textRotation="90"/>
    </xf>
    <xf numFmtId="0" fontId="20" fillId="5" borderId="0" xfId="0" applyFont="1" applyFill="1"/>
    <xf numFmtId="0" fontId="8" fillId="5" borderId="0" xfId="0" applyFont="1" applyFill="1"/>
    <xf numFmtId="0" fontId="20" fillId="5" borderId="0" xfId="0" applyFont="1" applyFill="1" applyAlignment="1">
      <alignment horizontal="right"/>
    </xf>
    <xf numFmtId="0" fontId="21" fillId="5" borderId="0" xfId="0" applyFont="1" applyFill="1"/>
    <xf numFmtId="0" fontId="0" fillId="5" borderId="0" xfId="0" applyFill="1" applyAlignment="1">
      <alignment horizontal="center"/>
    </xf>
    <xf numFmtId="0" fontId="21" fillId="5" borderId="0" xfId="0" applyFont="1" applyFill="1" applyAlignment="1">
      <alignment vertical="center" wrapText="1"/>
    </xf>
    <xf numFmtId="0" fontId="21" fillId="3" borderId="31"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33" xfId="0" applyFont="1" applyFill="1" applyBorder="1" applyAlignment="1">
      <alignment horizontal="center" vertical="center" wrapText="1"/>
    </xf>
    <xf numFmtId="0" fontId="21" fillId="0" borderId="19" xfId="0" applyFont="1" applyBorder="1" applyAlignment="1">
      <alignment horizontal="left" vertical="center" wrapText="1"/>
    </xf>
    <xf numFmtId="0" fontId="21" fillId="0" borderId="19" xfId="0" applyFont="1" applyBorder="1" applyAlignment="1" applyProtection="1">
      <alignment horizontal="center" vertical="center" wrapText="1"/>
      <protection locked="0"/>
    </xf>
    <xf numFmtId="0" fontId="21" fillId="0" borderId="19" xfId="0" applyFont="1" applyBorder="1" applyAlignment="1">
      <alignment horizontal="center" vertical="center" wrapText="1"/>
    </xf>
    <xf numFmtId="0" fontId="21" fillId="0" borderId="19" xfId="0" applyFont="1" applyBorder="1" applyAlignment="1" applyProtection="1">
      <alignment horizontal="left" vertical="center" wrapText="1"/>
      <protection locked="0"/>
    </xf>
    <xf numFmtId="0" fontId="21" fillId="16" borderId="31" xfId="0" applyFont="1" applyFill="1" applyBorder="1" applyAlignment="1">
      <alignment horizontal="center" vertical="center" textRotation="90" wrapText="1"/>
    </xf>
    <xf numFmtId="0" fontId="0" fillId="5" borderId="0" xfId="0" applyFill="1" applyAlignment="1">
      <alignment horizontal="left"/>
    </xf>
    <xf numFmtId="0" fontId="0" fillId="5" borderId="0" xfId="0" applyFill="1" applyAlignment="1">
      <alignment vertical="center" wrapText="1"/>
    </xf>
    <xf numFmtId="0" fontId="0" fillId="0" borderId="0" xfId="0" applyAlignment="1">
      <alignment vertical="center" wrapText="1"/>
    </xf>
    <xf numFmtId="0" fontId="21" fillId="16" borderId="31" xfId="0" applyFont="1" applyFill="1" applyBorder="1" applyAlignment="1">
      <alignment horizontal="center" vertical="center" wrapText="1"/>
    </xf>
    <xf numFmtId="0" fontId="21" fillId="16" borderId="32" xfId="0" applyFont="1" applyFill="1" applyBorder="1" applyAlignment="1">
      <alignment horizontal="center" vertical="center" wrapText="1"/>
    </xf>
    <xf numFmtId="0" fontId="21" fillId="16" borderId="33" xfId="0" applyFont="1" applyFill="1" applyBorder="1" applyAlignment="1">
      <alignment horizontal="center" vertical="center" wrapText="1"/>
    </xf>
    <xf numFmtId="0" fontId="23" fillId="5" borderId="0" xfId="0" applyFont="1" applyFill="1" applyAlignment="1">
      <alignment horizontal="center" vertical="center" wrapText="1"/>
    </xf>
    <xf numFmtId="0" fontId="8" fillId="0" borderId="0" xfId="0" applyFont="1" applyAlignment="1">
      <alignment horizontal="center" vertical="center" wrapText="1"/>
    </xf>
    <xf numFmtId="0" fontId="0" fillId="5" borderId="0" xfId="0" applyFill="1" applyAlignment="1">
      <alignment vertical="center"/>
    </xf>
    <xf numFmtId="0" fontId="0" fillId="0" borderId="0" xfId="0" applyAlignment="1">
      <alignment vertical="center"/>
    </xf>
    <xf numFmtId="0" fontId="0" fillId="0" borderId="0" xfId="0" applyAlignment="1">
      <alignment horizontal="center" vertical="center" wrapText="1"/>
    </xf>
    <xf numFmtId="0" fontId="0" fillId="5" borderId="0" xfId="0" applyFill="1" applyAlignment="1">
      <alignment horizontal="left" vertical="center" wrapText="1"/>
    </xf>
    <xf numFmtId="0" fontId="0" fillId="5" borderId="0" xfId="0" applyFill="1" applyAlignment="1">
      <alignment horizontal="center" vertical="center" wrapText="1"/>
    </xf>
    <xf numFmtId="0" fontId="21" fillId="0" borderId="0" xfId="0" applyFont="1"/>
    <xf numFmtId="0" fontId="0" fillId="0" borderId="0" xfId="0" applyAlignment="1">
      <alignment horizontal="center"/>
    </xf>
    <xf numFmtId="0" fontId="0" fillId="0" borderId="0" xfId="0" applyAlignment="1">
      <alignment horizontal="left" vertical="center" wrapText="1"/>
    </xf>
    <xf numFmtId="0" fontId="21" fillId="19" borderId="31" xfId="0" applyFont="1" applyFill="1" applyBorder="1" applyAlignment="1">
      <alignment horizontal="center" vertical="center" wrapText="1"/>
    </xf>
    <xf numFmtId="0" fontId="21" fillId="19" borderId="32" xfId="0" applyFont="1" applyFill="1" applyBorder="1" applyAlignment="1">
      <alignment horizontal="center" vertical="center" wrapText="1"/>
    </xf>
    <xf numFmtId="0" fontId="21" fillId="19" borderId="33" xfId="0" applyFont="1" applyFill="1" applyBorder="1" applyAlignment="1">
      <alignment horizontal="center" vertical="center" wrapText="1"/>
    </xf>
    <xf numFmtId="0" fontId="23" fillId="0" borderId="0" xfId="0" applyFont="1" applyAlignment="1">
      <alignment horizontal="center" vertical="center" wrapText="1"/>
    </xf>
    <xf numFmtId="0" fontId="8" fillId="5" borderId="0" xfId="0" applyFont="1" applyFill="1" applyAlignment="1">
      <alignment horizontal="left"/>
    </xf>
    <xf numFmtId="0" fontId="0" fillId="0" borderId="13" xfId="0" applyBorder="1"/>
    <xf numFmtId="0" fontId="1" fillId="21" borderId="0" xfId="0" applyFont="1" applyFill="1" applyAlignment="1">
      <alignment horizontal="left"/>
    </xf>
    <xf numFmtId="0" fontId="3" fillId="21" borderId="2" xfId="0" applyFont="1" applyFill="1" applyBorder="1"/>
    <xf numFmtId="0" fontId="3" fillId="21" borderId="4" xfId="0" applyFont="1" applyFill="1" applyBorder="1"/>
    <xf numFmtId="0" fontId="2" fillId="21" borderId="0" xfId="0" applyFont="1" applyFill="1" applyAlignment="1">
      <alignment horizontal="center" vertical="center" textRotation="90" wrapText="1"/>
    </xf>
    <xf numFmtId="0" fontId="3" fillId="21" borderId="0" xfId="0" applyFont="1" applyFill="1"/>
    <xf numFmtId="0" fontId="3" fillId="21" borderId="0" xfId="0" applyFont="1" applyFill="1" applyAlignment="1">
      <alignment horizontal="center" vertical="center" wrapText="1"/>
    </xf>
    <xf numFmtId="0" fontId="3" fillId="21" borderId="2" xfId="0" applyFont="1" applyFill="1" applyBorder="1" applyAlignment="1">
      <alignment horizontal="center" vertical="center" wrapText="1"/>
    </xf>
    <xf numFmtId="0" fontId="4" fillId="21" borderId="2" xfId="0" applyFont="1" applyFill="1" applyBorder="1" applyAlignment="1">
      <alignment horizontal="center" vertical="center" wrapText="1"/>
    </xf>
    <xf numFmtId="0" fontId="3" fillId="22" borderId="5" xfId="0" applyFont="1" applyFill="1" applyBorder="1" applyAlignment="1">
      <alignment horizontal="center" vertical="center" wrapText="1"/>
    </xf>
    <xf numFmtId="0" fontId="3" fillId="22" borderId="3" xfId="0" applyFont="1" applyFill="1" applyBorder="1" applyAlignment="1">
      <alignment horizontal="center" vertical="center" wrapText="1"/>
    </xf>
    <xf numFmtId="0" fontId="5" fillId="22" borderId="3" xfId="0" applyFont="1" applyFill="1" applyBorder="1" applyAlignment="1">
      <alignment horizontal="center" vertical="center" wrapText="1"/>
    </xf>
    <xf numFmtId="0" fontId="7" fillId="22" borderId="3" xfId="0" applyFont="1" applyFill="1" applyBorder="1" applyAlignment="1">
      <alignment horizontal="center" vertical="center" wrapText="1"/>
    </xf>
    <xf numFmtId="0" fontId="3" fillId="22" borderId="2" xfId="0" applyFont="1" applyFill="1" applyBorder="1" applyAlignment="1">
      <alignment horizontal="center" vertical="center" wrapText="1"/>
    </xf>
    <xf numFmtId="0" fontId="6" fillId="22" borderId="1" xfId="0" applyFont="1" applyFill="1" applyBorder="1" applyAlignment="1">
      <alignment horizontal="center" vertical="center" textRotation="90" wrapText="1"/>
    </xf>
    <xf numFmtId="0" fontId="0" fillId="0" borderId="0" xfId="0" applyAlignment="1">
      <alignment vertical="top" wrapText="1"/>
    </xf>
    <xf numFmtId="0" fontId="0" fillId="0" borderId="18" xfId="0" applyBorder="1" applyAlignment="1">
      <alignment horizontal="center" vertical="center"/>
    </xf>
    <xf numFmtId="0" fontId="0" fillId="0" borderId="18" xfId="0" applyBorder="1"/>
    <xf numFmtId="0" fontId="0" fillId="0" borderId="0" xfId="0" applyAlignment="1">
      <alignment horizontal="center" vertical="center"/>
    </xf>
    <xf numFmtId="0" fontId="27" fillId="25" borderId="6" xfId="0" applyFont="1" applyFill="1" applyBorder="1"/>
    <xf numFmtId="0" fontId="27" fillId="25" borderId="7" xfId="0" applyFont="1" applyFill="1" applyBorder="1"/>
    <xf numFmtId="0" fontId="27" fillId="25" borderId="7" xfId="0" applyFont="1" applyFill="1" applyBorder="1" applyAlignment="1">
      <alignment horizontal="center"/>
    </xf>
    <xf numFmtId="0" fontId="27" fillId="25" borderId="8" xfId="0" applyFont="1" applyFill="1" applyBorder="1" applyAlignment="1">
      <alignment horizontal="center"/>
    </xf>
    <xf numFmtId="0" fontId="28" fillId="21" borderId="9" xfId="0" applyFont="1" applyFill="1" applyBorder="1"/>
    <xf numFmtId="0" fontId="28" fillId="21" borderId="0" xfId="0" applyFont="1" applyFill="1" applyAlignment="1">
      <alignment horizontal="center"/>
    </xf>
    <xf numFmtId="0" fontId="28" fillId="21" borderId="10" xfId="0" applyFont="1" applyFill="1" applyBorder="1" applyAlignment="1">
      <alignment horizontal="center"/>
    </xf>
    <xf numFmtId="0" fontId="28" fillId="26" borderId="9" xfId="0" applyFont="1" applyFill="1" applyBorder="1"/>
    <xf numFmtId="0" fontId="28" fillId="26" borderId="0" xfId="0" applyFont="1" applyFill="1" applyAlignment="1">
      <alignment horizontal="center"/>
    </xf>
    <xf numFmtId="0" fontId="28" fillId="26" borderId="10" xfId="0" applyFont="1" applyFill="1" applyBorder="1" applyAlignment="1">
      <alignment horizontal="center"/>
    </xf>
    <xf numFmtId="0" fontId="28" fillId="27" borderId="9" xfId="0" applyFont="1" applyFill="1" applyBorder="1"/>
    <xf numFmtId="0" fontId="28" fillId="27" borderId="0" xfId="0" applyFont="1" applyFill="1" applyAlignment="1">
      <alignment horizontal="center"/>
    </xf>
    <xf numFmtId="49" fontId="28" fillId="27" borderId="0" xfId="0" applyNumberFormat="1" applyFont="1" applyFill="1" applyAlignment="1">
      <alignment horizontal="center"/>
    </xf>
    <xf numFmtId="0" fontId="28" fillId="27" borderId="10" xfId="0" applyFont="1" applyFill="1" applyBorder="1" applyAlignment="1">
      <alignment horizontal="center"/>
    </xf>
    <xf numFmtId="49" fontId="28" fillId="21" borderId="0" xfId="0" applyNumberFormat="1" applyFont="1" applyFill="1" applyAlignment="1">
      <alignment horizontal="center"/>
    </xf>
    <xf numFmtId="0" fontId="28" fillId="27" borderId="11" xfId="0" applyFont="1" applyFill="1" applyBorder="1"/>
    <xf numFmtId="0" fontId="28" fillId="27" borderId="12" xfId="0" applyFont="1" applyFill="1" applyBorder="1" applyAlignment="1">
      <alignment horizontal="center"/>
    </xf>
    <xf numFmtId="49" fontId="28" fillId="27" borderId="12" xfId="0" applyNumberFormat="1" applyFont="1" applyFill="1" applyBorder="1" applyAlignment="1">
      <alignment horizontal="center"/>
    </xf>
    <xf numFmtId="0" fontId="28" fillId="27" borderId="13" xfId="0" applyFont="1" applyFill="1" applyBorder="1" applyAlignment="1">
      <alignment horizontal="center"/>
    </xf>
    <xf numFmtId="14" fontId="0" fillId="0" borderId="18" xfId="0" applyNumberFormat="1" applyBorder="1" applyAlignment="1">
      <alignment vertical="top" wrapText="1"/>
    </xf>
    <xf numFmtId="0" fontId="0" fillId="0" borderId="18" xfId="0" applyBorder="1" applyAlignment="1">
      <alignment vertical="top" wrapText="1"/>
    </xf>
    <xf numFmtId="0" fontId="0" fillId="0" borderId="0" xfId="0" applyAlignment="1">
      <alignment horizontal="left" vertical="top" wrapText="1"/>
    </xf>
    <xf numFmtId="0" fontId="0" fillId="0" borderId="19" xfId="0" applyBorder="1"/>
    <xf numFmtId="0" fontId="0" fillId="0" borderId="17" xfId="0" applyBorder="1" applyAlignment="1">
      <alignment horizontal="left" vertical="top"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8" xfId="0" applyBorder="1"/>
    <xf numFmtId="0" fontId="0" fillId="0" borderId="10" xfId="0" applyBorder="1"/>
    <xf numFmtId="0" fontId="0" fillId="0" borderId="19" xfId="0" applyBorder="1" applyAlignment="1">
      <alignment vertical="top" wrapText="1"/>
    </xf>
    <xf numFmtId="0" fontId="30" fillId="23" borderId="38" xfId="0" applyFont="1" applyFill="1" applyBorder="1" applyAlignment="1">
      <alignment horizontal="center" vertical="center" wrapText="1"/>
    </xf>
    <xf numFmtId="0" fontId="30" fillId="23" borderId="3" xfId="0" applyFont="1" applyFill="1" applyBorder="1" applyAlignment="1">
      <alignment horizontal="center" vertical="center" wrapText="1"/>
    </xf>
    <xf numFmtId="0" fontId="31" fillId="23" borderId="3" xfId="0" applyFont="1" applyFill="1" applyBorder="1" applyAlignment="1">
      <alignment horizontal="center" vertical="center" wrapText="1"/>
    </xf>
    <xf numFmtId="0" fontId="31" fillId="23" borderId="5" xfId="0" applyFont="1" applyFill="1" applyBorder="1" applyAlignment="1">
      <alignment horizontal="center" vertical="center" wrapText="1"/>
    </xf>
    <xf numFmtId="0" fontId="25" fillId="21" borderId="18" xfId="0" applyFont="1" applyFill="1" applyBorder="1" applyAlignment="1">
      <alignment horizontal="center" vertical="center" wrapText="1"/>
    </xf>
    <xf numFmtId="0" fontId="25" fillId="30" borderId="18" xfId="0" applyFont="1" applyFill="1" applyBorder="1" applyAlignment="1">
      <alignment horizontal="center" vertical="center" wrapText="1"/>
    </xf>
    <xf numFmtId="0" fontId="25" fillId="21" borderId="17" xfId="0" applyFont="1" applyFill="1" applyBorder="1" applyAlignment="1">
      <alignment horizontal="center" vertical="center" wrapText="1"/>
    </xf>
    <xf numFmtId="0" fontId="31" fillId="23" borderId="45" xfId="0" applyFont="1" applyFill="1" applyBorder="1" applyAlignment="1">
      <alignment horizontal="center" vertical="center" wrapText="1"/>
    </xf>
    <xf numFmtId="0" fontId="31" fillId="23" borderId="38" xfId="0" applyFont="1" applyFill="1" applyBorder="1" applyAlignment="1">
      <alignment horizontal="center" vertical="center" wrapText="1"/>
    </xf>
    <xf numFmtId="0" fontId="0" fillId="32" borderId="17" xfId="0" applyFill="1" applyBorder="1" applyAlignment="1">
      <alignment horizontal="center" vertical="center" wrapText="1"/>
    </xf>
    <xf numFmtId="0" fontId="25" fillId="31" borderId="46" xfId="0" applyFont="1" applyFill="1" applyBorder="1" applyAlignment="1">
      <alignment horizontal="center" vertical="center" wrapText="1"/>
    </xf>
    <xf numFmtId="0" fontId="25" fillId="31" borderId="23"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25" fillId="31" borderId="43" xfId="0" applyFont="1" applyFill="1" applyBorder="1" applyAlignment="1">
      <alignment horizontal="center" vertical="center" wrapText="1"/>
    </xf>
    <xf numFmtId="0" fontId="25" fillId="31" borderId="44" xfId="0" applyFont="1" applyFill="1" applyBorder="1" applyAlignment="1">
      <alignment horizontal="center" vertical="center" wrapText="1"/>
    </xf>
    <xf numFmtId="0" fontId="25" fillId="31" borderId="17" xfId="0" applyFont="1" applyFill="1" applyBorder="1" applyAlignment="1">
      <alignment horizontal="center" vertical="center" wrapText="1"/>
    </xf>
    <xf numFmtId="0" fontId="25" fillId="31" borderId="19" xfId="0" applyFont="1" applyFill="1" applyBorder="1" applyAlignment="1">
      <alignment horizontal="center" vertical="center" wrapText="1"/>
    </xf>
    <xf numFmtId="0" fontId="31" fillId="23" borderId="47" xfId="0" applyFont="1" applyFill="1" applyBorder="1" applyAlignment="1">
      <alignment horizontal="center" vertical="center" wrapText="1"/>
    </xf>
    <xf numFmtId="0" fontId="25" fillId="31" borderId="48" xfId="0" applyFont="1" applyFill="1" applyBorder="1" applyAlignment="1">
      <alignment horizontal="center" vertical="center" wrapText="1"/>
    </xf>
    <xf numFmtId="0" fontId="25" fillId="31" borderId="25" xfId="0" applyFont="1" applyFill="1" applyBorder="1" applyAlignment="1">
      <alignment horizontal="center" vertical="center" wrapText="1"/>
    </xf>
    <xf numFmtId="0" fontId="25" fillId="24" borderId="43" xfId="0" applyFont="1" applyFill="1" applyBorder="1" applyAlignment="1">
      <alignment horizontal="center" vertical="center" wrapText="1"/>
    </xf>
    <xf numFmtId="0" fontId="25" fillId="24" borderId="44" xfId="0" applyFont="1" applyFill="1" applyBorder="1" applyAlignment="1">
      <alignment horizontal="center" vertical="center" wrapText="1"/>
    </xf>
    <xf numFmtId="0" fontId="25" fillId="24" borderId="17" xfId="0" applyFont="1" applyFill="1" applyBorder="1" applyAlignment="1">
      <alignment horizontal="center" vertical="center" wrapText="1"/>
    </xf>
    <xf numFmtId="0" fontId="25" fillId="24" borderId="19" xfId="0" applyFont="1" applyFill="1" applyBorder="1" applyAlignment="1">
      <alignment horizontal="center" vertical="center" wrapText="1"/>
    </xf>
    <xf numFmtId="0" fontId="26" fillId="24" borderId="17" xfId="0" applyFont="1" applyFill="1" applyBorder="1" applyAlignment="1">
      <alignment horizontal="center" vertical="center" wrapText="1"/>
    </xf>
    <xf numFmtId="0" fontId="26" fillId="24" borderId="19" xfId="0" applyFont="1" applyFill="1" applyBorder="1" applyAlignment="1">
      <alignment horizontal="center" vertical="center" wrapText="1"/>
    </xf>
    <xf numFmtId="0" fontId="25" fillId="30" borderId="17" xfId="0" applyFont="1" applyFill="1" applyBorder="1" applyAlignment="1">
      <alignment horizontal="center" vertical="center" wrapText="1"/>
    </xf>
    <xf numFmtId="0" fontId="25" fillId="30" borderId="19" xfId="0" applyFont="1" applyFill="1" applyBorder="1" applyAlignment="1">
      <alignment horizontal="center" vertical="center" wrapText="1"/>
    </xf>
    <xf numFmtId="0" fontId="30" fillId="23" borderId="1" xfId="0" applyFont="1" applyFill="1" applyBorder="1" applyAlignment="1">
      <alignment horizontal="center" vertical="center" wrapText="1"/>
    </xf>
    <xf numFmtId="0" fontId="25" fillId="21" borderId="51" xfId="0" applyFont="1" applyFill="1" applyBorder="1" applyAlignment="1">
      <alignment horizontal="center" vertical="center" wrapText="1"/>
    </xf>
    <xf numFmtId="0" fontId="25" fillId="21" borderId="19" xfId="0" applyFont="1" applyFill="1" applyBorder="1" applyAlignment="1">
      <alignment horizontal="center" vertical="center" wrapText="1"/>
    </xf>
    <xf numFmtId="0" fontId="0" fillId="0" borderId="18" xfId="0" applyBorder="1" applyAlignment="1">
      <alignment vertical="top"/>
    </xf>
    <xf numFmtId="0" fontId="10" fillId="0" borderId="3" xfId="0" applyFont="1" applyBorder="1" applyAlignment="1">
      <alignment horizontal="center"/>
    </xf>
    <xf numFmtId="0" fontId="10" fillId="0" borderId="5" xfId="0" applyFont="1" applyBorder="1" applyAlignment="1">
      <alignment horizontal="center"/>
    </xf>
    <xf numFmtId="0" fontId="32" fillId="0" borderId="39" xfId="0" applyFont="1" applyBorder="1" applyAlignment="1">
      <alignment horizontal="left" vertical="center" wrapText="1"/>
    </xf>
    <xf numFmtId="0" fontId="32" fillId="0" borderId="40" xfId="0" applyFont="1" applyBorder="1" applyAlignment="1">
      <alignment horizontal="left" vertical="center" wrapText="1"/>
    </xf>
    <xf numFmtId="0" fontId="32" fillId="0" borderId="41" xfId="0" applyFont="1" applyBorder="1" applyAlignment="1">
      <alignment horizontal="left" vertical="center" wrapText="1"/>
    </xf>
    <xf numFmtId="0" fontId="10" fillId="0" borderId="47" xfId="0" applyFont="1" applyBorder="1" applyAlignment="1">
      <alignment horizontal="center"/>
    </xf>
    <xf numFmtId="0" fontId="10" fillId="0" borderId="42" xfId="0" applyFont="1" applyBorder="1" applyAlignment="1">
      <alignment horizontal="center"/>
    </xf>
    <xf numFmtId="0" fontId="32" fillId="0" borderId="37" xfId="0" applyFont="1" applyBorder="1" applyAlignment="1">
      <alignment vertical="center" wrapText="1"/>
    </xf>
    <xf numFmtId="0" fontId="32" fillId="0" borderId="44" xfId="0" applyFont="1" applyBorder="1" applyAlignment="1">
      <alignment vertical="center" wrapText="1"/>
    </xf>
    <xf numFmtId="0" fontId="32" fillId="0" borderId="52" xfId="0" applyFont="1" applyBorder="1" applyAlignment="1">
      <alignment vertical="center" wrapText="1"/>
    </xf>
    <xf numFmtId="0" fontId="32" fillId="0" borderId="28" xfId="0" applyFont="1" applyBorder="1" applyAlignment="1">
      <alignment vertical="center" wrapText="1"/>
    </xf>
    <xf numFmtId="0" fontId="0" fillId="32" borderId="19" xfId="0" applyFill="1" applyBorder="1" applyAlignment="1">
      <alignment vertical="center" wrapText="1"/>
    </xf>
    <xf numFmtId="0" fontId="0" fillId="0" borderId="43" xfId="0" quotePrefix="1" applyBorder="1" applyAlignment="1">
      <alignment horizontal="left" vertical="top" wrapText="1"/>
    </xf>
    <xf numFmtId="14" fontId="0" fillId="0" borderId="37" xfId="0" applyNumberFormat="1" applyBorder="1" applyAlignment="1">
      <alignment vertical="top" wrapText="1"/>
    </xf>
    <xf numFmtId="0" fontId="0" fillId="0" borderId="37" xfId="0" applyBorder="1" applyAlignment="1">
      <alignment vertical="top" wrapText="1"/>
    </xf>
    <xf numFmtId="0" fontId="0" fillId="0" borderId="44" xfId="0" applyBorder="1"/>
    <xf numFmtId="0" fontId="21" fillId="29" borderId="38" xfId="0" applyFont="1" applyFill="1" applyBorder="1" applyAlignment="1">
      <alignment horizontal="left" vertical="top" wrapText="1"/>
    </xf>
    <xf numFmtId="0" fontId="21" fillId="29" borderId="3" xfId="0" applyFont="1" applyFill="1" applyBorder="1" applyAlignment="1">
      <alignment vertical="top" wrapText="1"/>
    </xf>
    <xf numFmtId="0" fontId="21" fillId="29" borderId="5" xfId="0" applyFont="1" applyFill="1" applyBorder="1" applyAlignment="1">
      <alignment vertical="top" wrapText="1"/>
    </xf>
    <xf numFmtId="0" fontId="34" fillId="0" borderId="9" xfId="0" applyFont="1" applyBorder="1" applyAlignment="1">
      <alignment horizontal="right" vertical="center" wrapText="1"/>
    </xf>
    <xf numFmtId="0" fontId="35" fillId="0" borderId="0" xfId="0" applyFont="1" applyAlignment="1">
      <alignment horizontal="left" vertical="center"/>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4" fillId="0" borderId="0" xfId="0" applyFont="1" applyAlignment="1">
      <alignment horizontal="right" vertical="center"/>
    </xf>
    <xf numFmtId="0" fontId="37" fillId="0" borderId="9" xfId="0" applyFont="1" applyBorder="1" applyAlignment="1">
      <alignment horizontal="right" vertical="center" wrapText="1"/>
    </xf>
    <xf numFmtId="0" fontId="37" fillId="0" borderId="0" xfId="0" applyFont="1" applyAlignment="1">
      <alignment horizontal="right" vertical="center"/>
    </xf>
    <xf numFmtId="0" fontId="36" fillId="0" borderId="0" xfId="0" applyFont="1" applyAlignment="1">
      <alignment horizontal="left" vertical="center"/>
    </xf>
    <xf numFmtId="0" fontId="37" fillId="0" borderId="9" xfId="0" applyFont="1" applyBorder="1" applyAlignment="1">
      <alignment horizontal="center" vertical="center" wrapText="1"/>
    </xf>
    <xf numFmtId="0" fontId="37" fillId="0" borderId="0" xfId="0" applyFont="1" applyAlignment="1">
      <alignment horizontal="center" vertical="center" wrapText="1"/>
    </xf>
    <xf numFmtId="0" fontId="37" fillId="0" borderId="0" xfId="0" applyFont="1" applyAlignment="1">
      <alignment horizontal="center" vertical="center"/>
    </xf>
    <xf numFmtId="15" fontId="35" fillId="0" borderId="0" xfId="0" applyNumberFormat="1" applyFont="1" applyAlignment="1">
      <alignment horizontal="left" vertical="center"/>
    </xf>
    <xf numFmtId="0" fontId="37" fillId="0" borderId="9" xfId="0" applyFont="1" applyBorder="1" applyAlignment="1">
      <alignment horizontal="right" vertical="center"/>
    </xf>
    <xf numFmtId="0" fontId="36" fillId="0" borderId="10" xfId="0" applyFont="1" applyBorder="1"/>
    <xf numFmtId="0" fontId="37" fillId="0" borderId="9" xfId="0" applyFont="1" applyBorder="1" applyAlignment="1">
      <alignment horizontal="center" vertical="center"/>
    </xf>
    <xf numFmtId="0" fontId="36" fillId="0" borderId="9"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12" xfId="0" applyFont="1" applyBorder="1" applyAlignment="1">
      <alignment horizontal="center" vertical="center" wrapText="1"/>
    </xf>
    <xf numFmtId="0" fontId="36" fillId="0" borderId="13" xfId="0" applyFont="1" applyBorder="1"/>
    <xf numFmtId="0" fontId="25" fillId="21" borderId="37" xfId="0" applyFont="1" applyFill="1" applyBorder="1" applyAlignment="1">
      <alignment horizontal="center" vertical="center" wrapText="1"/>
    </xf>
    <xf numFmtId="0" fontId="25" fillId="30" borderId="37" xfId="0" applyFont="1" applyFill="1" applyBorder="1" applyAlignment="1">
      <alignment horizontal="center" vertical="center" wrapText="1"/>
    </xf>
    <xf numFmtId="0" fontId="25" fillId="30" borderId="44" xfId="0" applyFont="1" applyFill="1" applyBorder="1" applyAlignment="1">
      <alignment horizontal="center" vertical="center" wrapText="1"/>
    </xf>
    <xf numFmtId="0" fontId="25" fillId="21" borderId="43" xfId="0" applyFont="1" applyFill="1" applyBorder="1" applyAlignment="1">
      <alignment horizontal="center" vertical="center" wrapText="1"/>
    </xf>
    <xf numFmtId="0" fontId="25" fillId="21" borderId="44" xfId="0" applyFont="1" applyFill="1" applyBorder="1" applyAlignment="1">
      <alignment horizontal="center" vertical="center" wrapText="1"/>
    </xf>
    <xf numFmtId="0" fontId="25" fillId="30" borderId="43" xfId="0" applyFont="1" applyFill="1" applyBorder="1" applyAlignment="1">
      <alignment horizontal="center" vertical="center" wrapText="1"/>
    </xf>
    <xf numFmtId="0" fontId="25" fillId="21" borderId="50" xfId="0" applyFont="1" applyFill="1" applyBorder="1" applyAlignment="1">
      <alignment horizontal="center" vertical="center" wrapText="1"/>
    </xf>
    <xf numFmtId="0" fontId="21" fillId="5" borderId="20"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21" fillId="5" borderId="22" xfId="0" applyFont="1" applyFill="1" applyBorder="1" applyAlignment="1">
      <alignment horizontal="center" vertical="center" wrapText="1"/>
    </xf>
    <xf numFmtId="12" fontId="39" fillId="2" borderId="37" xfId="0" applyNumberFormat="1" applyFont="1" applyFill="1" applyBorder="1" applyAlignment="1">
      <alignment horizontal="center" vertical="center" wrapText="1"/>
    </xf>
    <xf numFmtId="12" fontId="39" fillId="13" borderId="37" xfId="0" applyNumberFormat="1" applyFont="1" applyFill="1" applyBorder="1" applyAlignment="1">
      <alignment horizontal="center" vertical="center" wrapText="1"/>
    </xf>
    <xf numFmtId="12" fontId="39" fillId="13" borderId="44" xfId="0" applyNumberFormat="1" applyFont="1" applyFill="1" applyBorder="1" applyAlignment="1">
      <alignment horizontal="center" vertical="center" wrapText="1"/>
    </xf>
    <xf numFmtId="12" fontId="39" fillId="2" borderId="18" xfId="0" applyNumberFormat="1" applyFont="1" applyFill="1" applyBorder="1" applyAlignment="1">
      <alignment horizontal="center" vertical="center" wrapText="1"/>
    </xf>
    <xf numFmtId="12" fontId="39" fillId="13" borderId="18" xfId="0" applyNumberFormat="1" applyFont="1" applyFill="1" applyBorder="1" applyAlignment="1">
      <alignment horizontal="center" vertical="center" wrapText="1"/>
    </xf>
    <xf numFmtId="12" fontId="39" fillId="13" borderId="19" xfId="0" applyNumberFormat="1" applyFont="1" applyFill="1" applyBorder="1" applyAlignment="1">
      <alignment horizontal="center" vertical="center" wrapText="1"/>
    </xf>
    <xf numFmtId="12" fontId="39" fillId="14" borderId="18" xfId="0" applyNumberFormat="1" applyFont="1" applyFill="1" applyBorder="1" applyAlignment="1">
      <alignment horizontal="center" vertical="center" wrapText="1"/>
    </xf>
    <xf numFmtId="12" fontId="39" fillId="2" borderId="19" xfId="0" applyNumberFormat="1" applyFont="1" applyFill="1" applyBorder="1" applyAlignment="1">
      <alignment horizontal="center" vertical="center" wrapText="1"/>
    </xf>
    <xf numFmtId="12" fontId="39" fillId="14" borderId="21" xfId="0" applyNumberFormat="1" applyFont="1" applyFill="1" applyBorder="1" applyAlignment="1">
      <alignment horizontal="center" vertical="center" wrapText="1"/>
    </xf>
    <xf numFmtId="12" fontId="39" fillId="14" borderId="22" xfId="0" applyNumberFormat="1" applyFont="1" applyFill="1" applyBorder="1" applyAlignment="1">
      <alignment horizontal="center" vertical="center" wrapText="1"/>
    </xf>
    <xf numFmtId="12" fontId="39" fillId="14" borderId="48" xfId="0" applyNumberFormat="1" applyFont="1" applyFill="1" applyBorder="1" applyAlignment="1">
      <alignment horizontal="center" vertical="center" wrapText="1"/>
    </xf>
    <xf numFmtId="12" fontId="39" fillId="14" borderId="25" xfId="0" applyNumberFormat="1" applyFont="1" applyFill="1" applyBorder="1" applyAlignment="1">
      <alignment horizontal="center" vertical="center" wrapText="1"/>
    </xf>
    <xf numFmtId="12" fontId="39" fillId="14" borderId="56" xfId="0" applyNumberFormat="1" applyFont="1" applyFill="1" applyBorder="1" applyAlignment="1">
      <alignment horizontal="center" vertical="center" wrapText="1"/>
    </xf>
    <xf numFmtId="0" fontId="8" fillId="5" borderId="0" xfId="0" applyFont="1" applyFill="1" applyAlignment="1">
      <alignment horizontal="center" textRotation="90"/>
    </xf>
    <xf numFmtId="12" fontId="39" fillId="14" borderId="20" xfId="0" applyNumberFormat="1" applyFont="1" applyFill="1" applyBorder="1" applyAlignment="1">
      <alignment horizontal="left" vertical="center" wrapText="1"/>
    </xf>
    <xf numFmtId="12" fontId="39" fillId="14" borderId="17" xfId="0" applyNumberFormat="1" applyFont="1" applyFill="1" applyBorder="1" applyAlignment="1">
      <alignment horizontal="left" vertical="center" wrapText="1"/>
    </xf>
    <xf numFmtId="12" fontId="39" fillId="2" borderId="17" xfId="0" applyNumberFormat="1" applyFont="1" applyFill="1" applyBorder="1" applyAlignment="1">
      <alignment horizontal="left" vertical="center" wrapText="1"/>
    </xf>
    <xf numFmtId="12" fontId="39" fillId="13" borderId="14" xfId="0" applyNumberFormat="1" applyFont="1" applyFill="1" applyBorder="1" applyAlignment="1">
      <alignment horizontal="left" vertical="center" wrapText="1"/>
    </xf>
    <xf numFmtId="12" fontId="40" fillId="14" borderId="18" xfId="0" applyNumberFormat="1" applyFont="1" applyFill="1" applyBorder="1" applyAlignment="1">
      <alignment horizontal="center" vertical="center" wrapText="1"/>
    </xf>
    <xf numFmtId="12" fontId="40" fillId="34" borderId="18" xfId="0" applyNumberFormat="1" applyFont="1" applyFill="1" applyBorder="1" applyAlignment="1">
      <alignment horizontal="center" vertical="center" wrapText="1"/>
    </xf>
    <xf numFmtId="12" fontId="40" fillId="2" borderId="18" xfId="0" applyNumberFormat="1" applyFont="1" applyFill="1" applyBorder="1" applyAlignment="1">
      <alignment horizontal="center" vertical="center" wrapText="1"/>
    </xf>
    <xf numFmtId="12" fontId="41" fillId="13" borderId="18" xfId="0" applyNumberFormat="1" applyFont="1" applyFill="1" applyBorder="1" applyAlignment="1">
      <alignment horizontal="center" vertical="center" wrapText="1"/>
    </xf>
    <xf numFmtId="12" fontId="41" fillId="33" borderId="18" xfId="0" applyNumberFormat="1" applyFont="1" applyFill="1" applyBorder="1" applyAlignment="1">
      <alignment horizontal="center" vertical="center" wrapText="1"/>
    </xf>
    <xf numFmtId="12" fontId="42" fillId="33" borderId="18" xfId="0" applyNumberFormat="1" applyFont="1" applyFill="1" applyBorder="1" applyAlignment="1">
      <alignment horizontal="center" vertical="center" wrapText="1"/>
    </xf>
    <xf numFmtId="12" fontId="43" fillId="35" borderId="18" xfId="0" applyNumberFormat="1" applyFont="1" applyFill="1" applyBorder="1" applyAlignment="1">
      <alignment horizontal="center" vertical="center" wrapText="1"/>
    </xf>
    <xf numFmtId="12" fontId="43" fillId="34" borderId="18" xfId="0" applyNumberFormat="1" applyFont="1" applyFill="1" applyBorder="1" applyAlignment="1">
      <alignment horizontal="center" vertical="center" wrapText="1"/>
    </xf>
    <xf numFmtId="12" fontId="42" fillId="13" borderId="18" xfId="0" applyNumberFormat="1" applyFont="1" applyFill="1" applyBorder="1" applyAlignment="1">
      <alignment horizontal="center" vertical="center" wrapText="1"/>
    </xf>
    <xf numFmtId="12" fontId="43" fillId="14" borderId="18" xfId="0" applyNumberFormat="1" applyFont="1" applyFill="1" applyBorder="1" applyAlignment="1">
      <alignment horizontal="center" vertical="center" wrapText="1"/>
    </xf>
    <xf numFmtId="12" fontId="43" fillId="2" borderId="18" xfId="0" applyNumberFormat="1" applyFont="1" applyFill="1" applyBorder="1" applyAlignment="1">
      <alignment horizontal="center" vertical="center" wrapText="1"/>
    </xf>
    <xf numFmtId="0" fontId="0" fillId="0" borderId="19" xfId="0" applyBorder="1" applyAlignment="1">
      <alignment vertical="top"/>
    </xf>
    <xf numFmtId="164" fontId="0" fillId="0" borderId="17" xfId="0" applyNumberFormat="1"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vertical="top" wrapText="1"/>
    </xf>
    <xf numFmtId="0" fontId="0" fillId="0" borderId="22" xfId="0" applyBorder="1"/>
    <xf numFmtId="0" fontId="38" fillId="0" borderId="39" xfId="0" applyFont="1" applyBorder="1" applyAlignment="1">
      <alignment horizontal="center" vertical="center" wrapText="1"/>
    </xf>
    <xf numFmtId="0" fontId="38" fillId="0" borderId="40" xfId="0" applyFont="1" applyBorder="1" applyAlignment="1">
      <alignment horizontal="center" vertical="center" wrapText="1"/>
    </xf>
    <xf numFmtId="0" fontId="38" fillId="0" borderId="40" xfId="0" applyFont="1" applyBorder="1" applyAlignment="1">
      <alignment horizontal="center" wrapText="1"/>
    </xf>
    <xf numFmtId="0" fontId="38" fillId="0" borderId="41" xfId="0" applyFont="1" applyBorder="1" applyAlignment="1">
      <alignment horizontal="center" wrapText="1"/>
    </xf>
    <xf numFmtId="0" fontId="25" fillId="34" borderId="24" xfId="0" applyFont="1" applyFill="1" applyBorder="1" applyAlignment="1">
      <alignment horizontal="center" vertical="center" wrapText="1"/>
    </xf>
    <xf numFmtId="0" fontId="25" fillId="36" borderId="24" xfId="0" applyFont="1" applyFill="1" applyBorder="1" applyAlignment="1">
      <alignment horizontal="center" vertical="center" wrapText="1"/>
    </xf>
    <xf numFmtId="0" fontId="25" fillId="36" borderId="29" xfId="0" applyFont="1" applyFill="1" applyBorder="1" applyAlignment="1">
      <alignment horizontal="center" vertical="center" wrapText="1"/>
    </xf>
    <xf numFmtId="0" fontId="25" fillId="33" borderId="40" xfId="0" applyFont="1" applyFill="1" applyBorder="1" applyAlignment="1">
      <alignment horizontal="center" vertical="center" wrapText="1"/>
    </xf>
    <xf numFmtId="0" fontId="25" fillId="34" borderId="49" xfId="0" applyFont="1" applyFill="1" applyBorder="1" applyAlignment="1">
      <alignment horizontal="center" vertical="center" wrapText="1"/>
    </xf>
    <xf numFmtId="0" fontId="25" fillId="34" borderId="40" xfId="0" applyFont="1" applyFill="1" applyBorder="1" applyAlignment="1">
      <alignment horizontal="center" vertical="center" wrapText="1"/>
    </xf>
    <xf numFmtId="0" fontId="25" fillId="36" borderId="40" xfId="0" applyFont="1" applyFill="1" applyBorder="1" applyAlignment="1">
      <alignment horizontal="center" vertical="center" wrapText="1"/>
    </xf>
    <xf numFmtId="0" fontId="9" fillId="0" borderId="18" xfId="0" applyFont="1" applyBorder="1" applyAlignment="1">
      <alignment horizontal="left"/>
    </xf>
    <xf numFmtId="0" fontId="9" fillId="0" borderId="18" xfId="0" applyFont="1" applyBorder="1"/>
    <xf numFmtId="0" fontId="9" fillId="0" borderId="0" xfId="0" applyFont="1"/>
    <xf numFmtId="0" fontId="0" fillId="0" borderId="34" xfId="0" applyBorder="1" applyAlignment="1">
      <alignment horizontal="left" vertical="top" wrapText="1"/>
    </xf>
    <xf numFmtId="0" fontId="0" fillId="0" borderId="30" xfId="0" applyBorder="1" applyAlignment="1">
      <alignment vertical="top" wrapText="1"/>
    </xf>
    <xf numFmtId="0" fontId="0" fillId="0" borderId="26" xfId="0" applyBorder="1"/>
    <xf numFmtId="0" fontId="0" fillId="0" borderId="30" xfId="0" applyBorder="1" applyAlignment="1">
      <alignment vertical="top"/>
    </xf>
    <xf numFmtId="0" fontId="29" fillId="28" borderId="38" xfId="0" applyFont="1" applyFill="1" applyBorder="1" applyAlignment="1">
      <alignment horizontal="center" vertical="top" wrapText="1"/>
    </xf>
    <xf numFmtId="0" fontId="29" fillId="28" borderId="3" xfId="0" applyFont="1" applyFill="1" applyBorder="1" applyAlignment="1">
      <alignment horizontal="center" vertical="top" wrapText="1"/>
    </xf>
    <xf numFmtId="0" fontId="29" fillId="28" borderId="5" xfId="0" applyFont="1" applyFill="1" applyBorder="1" applyAlignment="1">
      <alignment horizontal="center" vertical="top" wrapText="1"/>
    </xf>
    <xf numFmtId="0" fontId="9" fillId="0" borderId="21" xfId="0" applyFont="1" applyBorder="1" applyAlignment="1">
      <alignment horizontal="left"/>
    </xf>
    <xf numFmtId="0" fontId="9" fillId="0" borderId="21" xfId="0" applyFont="1" applyBorder="1"/>
    <xf numFmtId="0" fontId="10" fillId="0" borderId="15" xfId="0" applyFont="1" applyBorder="1" applyAlignment="1">
      <alignment horizontal="center"/>
    </xf>
    <xf numFmtId="0" fontId="9" fillId="0" borderId="18" xfId="0" applyFont="1" applyBorder="1" applyAlignment="1">
      <alignment horizontal="left"/>
    </xf>
    <xf numFmtId="0" fontId="9" fillId="0" borderId="18" xfId="0" applyFont="1" applyBorder="1"/>
    <xf numFmtId="0" fontId="8" fillId="0" borderId="38"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18" xfId="0" applyBorder="1" applyAlignment="1">
      <alignment horizontal="left" vertical="center"/>
    </xf>
    <xf numFmtId="0" fontId="0" fillId="0" borderId="19" xfId="0" applyBorder="1" applyAlignment="1">
      <alignment horizontal="left" vertical="center"/>
    </xf>
    <xf numFmtId="0" fontId="38" fillId="0" borderId="14" xfId="0" applyFont="1" applyBorder="1" applyAlignment="1">
      <alignment horizontal="center" vertical="center"/>
    </xf>
    <xf numFmtId="0" fontId="38" fillId="0" borderId="16" xfId="0" applyFont="1" applyBorder="1" applyAlignment="1">
      <alignment horizontal="center" vertical="center"/>
    </xf>
    <xf numFmtId="0" fontId="38" fillId="0" borderId="20" xfId="0" applyFont="1" applyBorder="1" applyAlignment="1">
      <alignment horizontal="center" vertical="center"/>
    </xf>
    <xf numFmtId="0" fontId="38" fillId="0" borderId="22" xfId="0" applyFont="1" applyBorder="1" applyAlignment="1">
      <alignment horizontal="center" vertical="center"/>
    </xf>
    <xf numFmtId="0" fontId="38" fillId="0" borderId="39" xfId="0" applyFont="1" applyBorder="1" applyAlignment="1">
      <alignment horizontal="center" vertical="center" textRotation="255"/>
    </xf>
    <xf numFmtId="0" fontId="38" fillId="0" borderId="40" xfId="0" applyFont="1" applyBorder="1" applyAlignment="1">
      <alignment horizontal="center" vertical="center" textRotation="255"/>
    </xf>
    <xf numFmtId="0" fontId="38" fillId="0" borderId="41" xfId="0" applyFont="1" applyBorder="1" applyAlignment="1">
      <alignment horizontal="center" vertical="center" textRotation="255"/>
    </xf>
    <xf numFmtId="0" fontId="38" fillId="0" borderId="14" xfId="0" applyFont="1" applyBorder="1" applyAlignment="1">
      <alignment horizontal="center"/>
    </xf>
    <xf numFmtId="0" fontId="38" fillId="0" borderId="15" xfId="0" applyFont="1" applyBorder="1" applyAlignment="1">
      <alignment horizontal="center"/>
    </xf>
    <xf numFmtId="0" fontId="38" fillId="0" borderId="16" xfId="0" applyFont="1" applyBorder="1" applyAlignment="1">
      <alignment horizontal="center"/>
    </xf>
    <xf numFmtId="0" fontId="24" fillId="0" borderId="0" xfId="0" applyFont="1" applyAlignment="1">
      <alignment horizontal="left"/>
    </xf>
    <xf numFmtId="0" fontId="8" fillId="0" borderId="0" xfId="0" applyFont="1" applyAlignment="1">
      <alignment horizontal="center" vertical="center"/>
    </xf>
    <xf numFmtId="0" fontId="0" fillId="0" borderId="0" xfId="0" applyAlignment="1">
      <alignment horizontal="left" vertical="center"/>
    </xf>
    <xf numFmtId="0" fontId="8" fillId="5" borderId="0" xfId="0" applyFont="1" applyFill="1" applyAlignment="1">
      <alignment horizontal="center" textRotation="90"/>
    </xf>
    <xf numFmtId="0" fontId="8" fillId="5" borderId="0" xfId="0" applyFont="1" applyFill="1" applyAlignment="1">
      <alignment horizontal="center"/>
    </xf>
    <xf numFmtId="0" fontId="17" fillId="5" borderId="0" xfId="0" applyFont="1" applyFill="1" applyAlignment="1">
      <alignment horizontal="center" textRotation="90"/>
    </xf>
    <xf numFmtId="0" fontId="8" fillId="5" borderId="0" xfId="0" applyFont="1" applyFill="1" applyAlignment="1">
      <alignment horizontal="center" vertical="center"/>
    </xf>
    <xf numFmtId="0" fontId="25" fillId="21" borderId="53" xfId="0" applyFont="1" applyFill="1" applyBorder="1" applyAlignment="1">
      <alignment horizontal="center" vertical="center" wrapText="1"/>
    </xf>
    <xf numFmtId="0" fontId="25" fillId="21" borderId="54" xfId="0" applyFont="1" applyFill="1" applyBorder="1" applyAlignment="1">
      <alignment horizontal="center" vertical="center" wrapText="1"/>
    </xf>
    <xf numFmtId="0" fontId="25" fillId="21" borderId="49" xfId="0" applyFont="1" applyFill="1" applyBorder="1" applyAlignment="1">
      <alignment horizontal="center" vertical="center" wrapText="1"/>
    </xf>
    <xf numFmtId="0" fontId="25" fillId="21" borderId="34" xfId="0" applyFont="1" applyFill="1" applyBorder="1" applyAlignment="1">
      <alignment horizontal="center" vertical="center" wrapText="1"/>
    </xf>
    <xf numFmtId="0" fontId="25" fillId="21" borderId="35" xfId="0" applyFont="1" applyFill="1" applyBorder="1" applyAlignment="1">
      <alignment horizontal="center" vertical="center" wrapText="1"/>
    </xf>
    <xf numFmtId="0" fontId="25" fillId="21" borderId="43" xfId="0" applyFont="1" applyFill="1" applyBorder="1" applyAlignment="1">
      <alignment horizontal="center" vertical="center" wrapText="1"/>
    </xf>
    <xf numFmtId="0" fontId="25" fillId="21" borderId="30" xfId="0" applyFont="1" applyFill="1" applyBorder="1" applyAlignment="1">
      <alignment horizontal="center" vertical="center" wrapText="1"/>
    </xf>
    <xf numFmtId="0" fontId="25" fillId="21" borderId="55" xfId="0" applyFont="1" applyFill="1" applyBorder="1" applyAlignment="1">
      <alignment horizontal="center" vertical="center" wrapText="1"/>
    </xf>
    <xf numFmtId="0" fontId="25" fillId="21" borderId="37" xfId="0" applyFont="1" applyFill="1" applyBorder="1" applyAlignment="1">
      <alignment horizontal="center" vertical="center" wrapText="1"/>
    </xf>
    <xf numFmtId="0" fontId="25" fillId="21" borderId="26" xfId="0" applyFont="1" applyFill="1" applyBorder="1" applyAlignment="1">
      <alignment horizontal="center" vertical="center" wrapText="1"/>
    </xf>
    <xf numFmtId="0" fontId="25" fillId="21" borderId="27" xfId="0" applyFont="1" applyFill="1" applyBorder="1" applyAlignment="1">
      <alignment horizontal="center" vertical="center" wrapText="1"/>
    </xf>
    <xf numFmtId="0" fontId="25" fillId="21" borderId="44" xfId="0" applyFont="1" applyFill="1" applyBorder="1" applyAlignment="1">
      <alignment horizontal="center" vertical="center" wrapText="1"/>
    </xf>
    <xf numFmtId="0" fontId="25" fillId="30" borderId="34" xfId="0" applyFont="1" applyFill="1" applyBorder="1" applyAlignment="1">
      <alignment horizontal="center" vertical="center" wrapText="1"/>
    </xf>
    <xf numFmtId="0" fontId="25" fillId="30" borderId="35" xfId="0" applyFont="1" applyFill="1" applyBorder="1" applyAlignment="1">
      <alignment horizontal="center" vertical="center" wrapText="1"/>
    </xf>
    <xf numFmtId="0" fontId="25" fillId="30" borderId="43" xfId="0" applyFont="1" applyFill="1" applyBorder="1" applyAlignment="1">
      <alignment horizontal="center" vertical="center" wrapText="1"/>
    </xf>
    <xf numFmtId="0" fontId="25" fillId="30" borderId="30" xfId="0" applyFont="1" applyFill="1" applyBorder="1" applyAlignment="1">
      <alignment horizontal="center" vertical="center" wrapText="1"/>
    </xf>
    <xf numFmtId="0" fontId="25" fillId="30" borderId="55" xfId="0" applyFont="1" applyFill="1" applyBorder="1" applyAlignment="1">
      <alignment horizontal="center" vertical="center" wrapText="1"/>
    </xf>
    <xf numFmtId="0" fontId="25" fillId="30" borderId="37" xfId="0" applyFont="1" applyFill="1" applyBorder="1" applyAlignment="1">
      <alignment horizontal="center" vertical="center" wrapText="1"/>
    </xf>
    <xf numFmtId="0" fontId="25" fillId="30" borderId="26" xfId="0" applyFont="1" applyFill="1" applyBorder="1" applyAlignment="1">
      <alignment horizontal="center" vertical="center" wrapText="1"/>
    </xf>
    <xf numFmtId="0" fontId="25" fillId="30" borderId="27" xfId="0" applyFont="1" applyFill="1" applyBorder="1" applyAlignment="1">
      <alignment horizontal="center" vertical="center" wrapText="1"/>
    </xf>
    <xf numFmtId="0" fontId="25" fillId="30" borderId="44" xfId="0" applyFont="1" applyFill="1" applyBorder="1" applyAlignment="1">
      <alignment horizontal="center" vertical="center" wrapText="1"/>
    </xf>
    <xf numFmtId="0" fontId="25" fillId="30" borderId="19" xfId="0" applyFont="1" applyFill="1" applyBorder="1" applyAlignment="1">
      <alignment horizontal="center" vertical="center" wrapText="1"/>
    </xf>
    <xf numFmtId="0" fontId="25" fillId="30" borderId="17" xfId="0" applyFont="1" applyFill="1" applyBorder="1" applyAlignment="1">
      <alignment horizontal="center" vertical="center" wrapText="1"/>
    </xf>
    <xf numFmtId="0" fontId="25" fillId="30" borderId="18" xfId="0" applyFont="1" applyFill="1" applyBorder="1" applyAlignment="1">
      <alignment horizontal="center" vertical="center" wrapText="1"/>
    </xf>
    <xf numFmtId="0" fontId="25" fillId="21" borderId="19" xfId="0" applyFont="1" applyFill="1" applyBorder="1" applyAlignment="1">
      <alignment horizontal="center" vertical="center" wrapText="1"/>
    </xf>
    <xf numFmtId="0" fontId="25" fillId="30" borderId="33" xfId="0" applyFont="1" applyFill="1" applyBorder="1" applyAlignment="1">
      <alignment horizontal="center" vertical="center" wrapText="1"/>
    </xf>
    <xf numFmtId="0" fontId="25" fillId="30" borderId="31" xfId="0" applyFont="1" applyFill="1" applyBorder="1" applyAlignment="1">
      <alignment horizontal="center" vertical="center" wrapText="1"/>
    </xf>
    <xf numFmtId="0" fontId="25" fillId="30" borderId="32" xfId="0" applyFont="1" applyFill="1" applyBorder="1" applyAlignment="1">
      <alignment horizontal="center" vertical="center" wrapText="1"/>
    </xf>
    <xf numFmtId="0" fontId="25" fillId="21" borderId="51" xfId="0" applyFont="1" applyFill="1" applyBorder="1" applyAlignment="1">
      <alignment horizontal="center" vertical="center" wrapText="1"/>
    </xf>
    <xf numFmtId="0" fontId="25" fillId="21" borderId="17" xfId="0" applyFont="1" applyFill="1" applyBorder="1" applyAlignment="1">
      <alignment horizontal="center" vertical="center" wrapText="1"/>
    </xf>
    <xf numFmtId="0" fontId="25" fillId="21" borderId="18" xfId="0" applyFont="1" applyFill="1" applyBorder="1" applyAlignment="1">
      <alignment horizontal="center" vertical="center" wrapText="1"/>
    </xf>
    <xf numFmtId="0" fontId="25" fillId="21" borderId="50" xfId="0" applyFont="1" applyFill="1" applyBorder="1" applyAlignment="1">
      <alignment horizontal="center" vertical="center" wrapText="1"/>
    </xf>
    <xf numFmtId="0" fontId="25" fillId="21" borderId="53" xfId="0" applyFont="1" applyFill="1" applyBorder="1" applyAlignment="1">
      <alignment horizontal="center" vertical="center"/>
    </xf>
    <xf numFmtId="0" fontId="25" fillId="21" borderId="54" xfId="0" applyFont="1" applyFill="1" applyBorder="1" applyAlignment="1">
      <alignment horizontal="center" vertical="center"/>
    </xf>
    <xf numFmtId="0" fontId="25" fillId="21" borderId="49" xfId="0" applyFont="1" applyFill="1" applyBorder="1" applyAlignment="1">
      <alignment horizontal="center" vertical="center"/>
    </xf>
    <xf numFmtId="0" fontId="1" fillId="2" borderId="0" xfId="0" applyFont="1" applyFill="1" applyAlignment="1">
      <alignment horizontal="left"/>
    </xf>
    <xf numFmtId="0" fontId="12" fillId="6" borderId="0" xfId="1" applyFont="1" applyFill="1" applyAlignment="1">
      <alignment horizontal="center"/>
    </xf>
    <xf numFmtId="0" fontId="21" fillId="12" borderId="9" xfId="0" applyFont="1" applyFill="1" applyBorder="1" applyAlignment="1">
      <alignment horizontal="center" vertical="center" textRotation="90" wrapText="1"/>
    </xf>
    <xf numFmtId="0" fontId="21" fillId="12" borderId="11" xfId="0" applyFont="1" applyFill="1" applyBorder="1" applyAlignment="1">
      <alignment horizontal="center" vertical="center" textRotation="90"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22" fillId="9" borderId="6" xfId="0" applyFont="1" applyFill="1" applyBorder="1" applyAlignment="1">
      <alignment horizontal="center" vertical="center" textRotation="90" wrapText="1"/>
    </xf>
    <xf numFmtId="0" fontId="22" fillId="9" borderId="9" xfId="0" applyFont="1" applyFill="1" applyBorder="1" applyAlignment="1">
      <alignment horizontal="center" vertical="center" textRotation="90" wrapText="1"/>
    </xf>
    <xf numFmtId="0" fontId="22" fillId="9" borderId="11" xfId="0" applyFont="1" applyFill="1" applyBorder="1" applyAlignment="1">
      <alignment horizontal="center" vertical="center" textRotation="90" wrapText="1"/>
    </xf>
    <xf numFmtId="0" fontId="21" fillId="15" borderId="0" xfId="0" applyFont="1" applyFill="1" applyAlignment="1">
      <alignment horizontal="center" vertical="center" textRotation="90" wrapText="1"/>
    </xf>
    <xf numFmtId="0" fontId="21" fillId="17" borderId="14" xfId="0" applyFont="1" applyFill="1" applyBorder="1" applyAlignment="1">
      <alignment horizontal="center" vertical="center" textRotation="90" wrapText="1"/>
    </xf>
    <xf numFmtId="0" fontId="21" fillId="17" borderId="34" xfId="0" applyFont="1" applyFill="1" applyBorder="1" applyAlignment="1">
      <alignment horizontal="center" vertical="center" textRotation="90" wrapText="1"/>
    </xf>
    <xf numFmtId="0" fontId="21" fillId="10" borderId="14" xfId="0" applyFont="1" applyFill="1" applyBorder="1" applyAlignment="1">
      <alignment horizontal="center" vertical="center" textRotation="90" wrapText="1"/>
    </xf>
    <xf numFmtId="0" fontId="21" fillId="10" borderId="17" xfId="0" applyFont="1" applyFill="1" applyBorder="1" applyAlignment="1">
      <alignment horizontal="center" vertical="center" textRotation="90" wrapText="1"/>
    </xf>
    <xf numFmtId="0" fontId="21" fillId="10" borderId="20" xfId="0" applyFont="1" applyFill="1" applyBorder="1" applyAlignment="1">
      <alignment horizontal="center" vertical="center" textRotation="90" wrapText="1"/>
    </xf>
    <xf numFmtId="0" fontId="21" fillId="10" borderId="35" xfId="0" applyFont="1" applyFill="1" applyBorder="1" applyAlignment="1">
      <alignment horizontal="center" vertical="center" textRotation="90" wrapText="1"/>
    </xf>
    <xf numFmtId="0" fontId="21" fillId="10" borderId="36" xfId="0" applyFont="1" applyFill="1" applyBorder="1" applyAlignment="1">
      <alignment horizontal="center" vertical="center" textRotation="90" wrapText="1"/>
    </xf>
    <xf numFmtId="0" fontId="8" fillId="16" borderId="1"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8" fillId="16" borderId="4" xfId="0" applyFont="1" applyFill="1" applyBorder="1" applyAlignment="1">
      <alignment horizontal="center" vertical="center" wrapText="1"/>
    </xf>
    <xf numFmtId="0" fontId="22" fillId="18" borderId="31" xfId="0" applyFont="1" applyFill="1" applyBorder="1" applyAlignment="1">
      <alignment horizontal="center" vertical="center" textRotation="90" wrapText="1"/>
    </xf>
    <xf numFmtId="0" fontId="22" fillId="18" borderId="35" xfId="0" applyFont="1" applyFill="1" applyBorder="1" applyAlignment="1">
      <alignment horizontal="center" vertical="center" textRotation="90" wrapText="1"/>
    </xf>
    <xf numFmtId="0" fontId="22" fillId="9" borderId="14" xfId="0" applyFont="1" applyFill="1" applyBorder="1" applyAlignment="1">
      <alignment horizontal="center" vertical="center" textRotation="90" wrapText="1"/>
    </xf>
    <xf numFmtId="0" fontId="22" fillId="9" borderId="17" xfId="0" applyFont="1" applyFill="1" applyBorder="1" applyAlignment="1">
      <alignment horizontal="center" vertical="center" textRotation="90" wrapText="1"/>
    </xf>
    <xf numFmtId="0" fontId="22" fillId="9" borderId="20" xfId="0" applyFont="1" applyFill="1" applyBorder="1" applyAlignment="1">
      <alignment horizontal="center" vertical="center" textRotation="90" wrapText="1"/>
    </xf>
    <xf numFmtId="0" fontId="21" fillId="15" borderId="31" xfId="0" applyFont="1" applyFill="1" applyBorder="1" applyAlignment="1">
      <alignment horizontal="center" vertical="center" textRotation="90" wrapText="1"/>
    </xf>
    <xf numFmtId="0" fontId="21" fillId="15" borderId="35" xfId="0" applyFont="1" applyFill="1" applyBorder="1" applyAlignment="1">
      <alignment horizontal="center" vertical="center" textRotation="90" wrapText="1"/>
    </xf>
    <xf numFmtId="0" fontId="21" fillId="15" borderId="36" xfId="0" applyFont="1" applyFill="1" applyBorder="1" applyAlignment="1">
      <alignment horizontal="center" vertical="center" textRotation="90" wrapText="1"/>
    </xf>
    <xf numFmtId="0" fontId="21" fillId="3" borderId="31" xfId="0" applyFont="1" applyFill="1" applyBorder="1" applyAlignment="1">
      <alignment horizontal="center" vertical="center" textRotation="90" wrapText="1"/>
    </xf>
    <xf numFmtId="0" fontId="21" fillId="3" borderId="35" xfId="0" applyFont="1" applyFill="1" applyBorder="1" applyAlignment="1">
      <alignment horizontal="center" vertical="center" textRotation="90" wrapText="1"/>
    </xf>
    <xf numFmtId="0" fontId="21" fillId="3" borderId="36" xfId="0" applyFont="1" applyFill="1" applyBorder="1" applyAlignment="1">
      <alignment horizontal="center" vertical="center" textRotation="90" wrapText="1"/>
    </xf>
    <xf numFmtId="0" fontId="21" fillId="16" borderId="14" xfId="0" applyFont="1" applyFill="1" applyBorder="1" applyAlignment="1">
      <alignment horizontal="center" vertical="center" textRotation="90" wrapText="1"/>
    </xf>
    <xf numFmtId="0" fontId="21" fillId="16" borderId="17" xfId="0" applyFont="1" applyFill="1" applyBorder="1" applyAlignment="1">
      <alignment horizontal="center" vertical="center" textRotation="90" wrapText="1"/>
    </xf>
    <xf numFmtId="0" fontId="21" fillId="16" borderId="20" xfId="0" applyFont="1" applyFill="1" applyBorder="1" applyAlignment="1">
      <alignment horizontal="center" vertical="center" textRotation="90" wrapText="1"/>
    </xf>
    <xf numFmtId="0" fontId="21" fillId="12" borderId="6" xfId="0" applyFont="1" applyFill="1" applyBorder="1" applyAlignment="1">
      <alignment horizontal="center" vertical="center" textRotation="90" wrapText="1"/>
    </xf>
    <xf numFmtId="0" fontId="8" fillId="19" borderId="1" xfId="0" applyFont="1" applyFill="1" applyBorder="1" applyAlignment="1">
      <alignment horizontal="center" vertical="center" wrapText="1"/>
    </xf>
    <xf numFmtId="0" fontId="8" fillId="19" borderId="2" xfId="0" applyFont="1" applyFill="1" applyBorder="1" applyAlignment="1">
      <alignment horizontal="center" vertical="center" wrapText="1"/>
    </xf>
    <xf numFmtId="0" fontId="8" fillId="19" borderId="4" xfId="0" applyFont="1" applyFill="1" applyBorder="1" applyAlignment="1">
      <alignment horizontal="center" vertical="center" wrapText="1"/>
    </xf>
    <xf numFmtId="0" fontId="22" fillId="20" borderId="6" xfId="0" applyFont="1" applyFill="1" applyBorder="1" applyAlignment="1">
      <alignment horizontal="center" vertical="center" textRotation="90" wrapText="1"/>
    </xf>
    <xf numFmtId="0" fontId="22" fillId="20" borderId="9" xfId="0" applyFont="1" applyFill="1" applyBorder="1" applyAlignment="1">
      <alignment horizontal="center" vertical="center" textRotation="90" wrapText="1"/>
    </xf>
    <xf numFmtId="0" fontId="22" fillId="20" borderId="11" xfId="0" applyFont="1" applyFill="1" applyBorder="1" applyAlignment="1">
      <alignment horizontal="center" vertical="center" textRotation="90" wrapText="1"/>
    </xf>
    <xf numFmtId="0" fontId="21" fillId="9" borderId="6" xfId="0" applyFont="1" applyFill="1" applyBorder="1" applyAlignment="1">
      <alignment horizontal="center" vertical="center" textRotation="90" wrapText="1"/>
    </xf>
    <xf numFmtId="0" fontId="21" fillId="9" borderId="9" xfId="0" applyFont="1" applyFill="1" applyBorder="1" applyAlignment="1">
      <alignment horizontal="center" vertical="center" textRotation="90" wrapText="1"/>
    </xf>
    <xf numFmtId="0" fontId="21" fillId="9" borderId="11" xfId="0" applyFont="1" applyFill="1" applyBorder="1" applyAlignment="1">
      <alignment horizontal="center" vertical="center" textRotation="90" wrapText="1"/>
    </xf>
    <xf numFmtId="0" fontId="21" fillId="16" borderId="6" xfId="0" applyFont="1" applyFill="1" applyBorder="1" applyAlignment="1">
      <alignment horizontal="center" vertical="center" textRotation="90" wrapText="1"/>
    </xf>
    <xf numFmtId="0" fontId="21" fillId="16" borderId="9" xfId="0" applyFont="1" applyFill="1" applyBorder="1" applyAlignment="1">
      <alignment horizontal="center" vertical="center" textRotation="90" wrapText="1"/>
    </xf>
    <xf numFmtId="0" fontId="21" fillId="16" borderId="11" xfId="0" applyFont="1" applyFill="1" applyBorder="1" applyAlignment="1">
      <alignment horizontal="center" vertical="center" textRotation="90" wrapText="1"/>
    </xf>
    <xf numFmtId="0" fontId="21" fillId="3" borderId="7" xfId="0" applyFont="1" applyFill="1" applyBorder="1" applyAlignment="1">
      <alignment horizontal="center" vertical="center" textRotation="90" wrapText="1"/>
    </xf>
    <xf numFmtId="0" fontId="21" fillId="3" borderId="0" xfId="0" applyFont="1" applyFill="1" applyAlignment="1">
      <alignment horizontal="center" vertical="center" textRotation="90" wrapText="1"/>
    </xf>
    <xf numFmtId="0" fontId="21" fillId="3" borderId="12" xfId="0" applyFont="1" applyFill="1" applyBorder="1" applyAlignment="1">
      <alignment horizontal="center" vertical="center" textRotation="90" wrapText="1"/>
    </xf>
  </cellXfs>
  <cellStyles count="2">
    <cellStyle name="Normal" xfId="0" builtinId="0"/>
    <cellStyle name="Normal_ISF Threat Catalogue" xfId="1" xr:uid="{00000000-0005-0000-0000-000001000000}"/>
  </cellStyles>
  <dxfs count="43">
    <dxf>
      <font>
        <b val="0"/>
        <i val="0"/>
        <condense val="0"/>
        <extend val="0"/>
        <color indexed="38"/>
      </font>
      <fill>
        <patternFill>
          <bgColor indexed="42"/>
        </patternFill>
      </fill>
    </dxf>
    <dxf>
      <font>
        <condense val="0"/>
        <extend val="0"/>
        <color indexed="8"/>
      </font>
      <fill>
        <patternFill>
          <bgColor indexed="52"/>
        </patternFill>
      </fill>
    </dxf>
    <dxf>
      <font>
        <b/>
        <i val="0"/>
        <condense val="0"/>
        <extend val="0"/>
        <color indexed="58"/>
      </font>
      <fill>
        <patternFill>
          <bgColor indexed="34"/>
        </patternFill>
      </fill>
    </dxf>
    <dxf>
      <font>
        <b val="0"/>
        <i val="0"/>
        <condense val="0"/>
        <extend val="0"/>
        <color indexed="38"/>
      </font>
      <fill>
        <patternFill>
          <bgColor indexed="42"/>
        </patternFill>
      </fill>
    </dxf>
    <dxf>
      <font>
        <condense val="0"/>
        <extend val="0"/>
        <color indexed="8"/>
      </font>
      <fill>
        <patternFill>
          <bgColor indexed="52"/>
        </patternFill>
      </fill>
    </dxf>
    <dxf>
      <font>
        <b/>
        <i val="0"/>
        <condense val="0"/>
        <extend val="0"/>
        <color indexed="58"/>
      </font>
      <fill>
        <patternFill>
          <bgColor indexed="34"/>
        </patternFill>
      </fill>
    </dxf>
    <dxf>
      <font>
        <b val="0"/>
        <i val="0"/>
        <condense val="0"/>
        <extend val="0"/>
        <color indexed="38"/>
      </font>
      <fill>
        <patternFill>
          <bgColor indexed="42"/>
        </patternFill>
      </fill>
    </dxf>
    <dxf>
      <font>
        <condense val="0"/>
        <extend val="0"/>
        <color indexed="8"/>
      </font>
      <fill>
        <patternFill>
          <bgColor indexed="52"/>
        </patternFill>
      </fill>
    </dxf>
    <dxf>
      <font>
        <b/>
        <i val="0"/>
        <condense val="0"/>
        <extend val="0"/>
        <color indexed="58"/>
      </font>
      <fill>
        <patternFill>
          <bgColor indexed="34"/>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00FF00"/>
        </patternFill>
      </fill>
    </dxf>
    <dxf>
      <font>
        <color auto="1"/>
      </font>
      <fill>
        <patternFill patternType="solid">
          <fgColor theme="1"/>
          <bgColor rgb="FF00FF00"/>
        </patternFill>
      </fill>
    </dxf>
    <dxf>
      <fill>
        <patternFill>
          <bgColor rgb="FF00FF00"/>
        </patternFill>
      </fill>
    </dxf>
    <dxf>
      <fill>
        <patternFill>
          <bgColor rgb="FF00FF00"/>
        </patternFill>
      </fill>
    </dxf>
    <dxf>
      <fill>
        <patternFill>
          <bgColor rgb="FF00FF00"/>
        </patternFill>
      </fill>
    </dxf>
    <dxf>
      <fill>
        <patternFill patternType="solid">
          <bgColor rgb="FF00FF00"/>
        </patternFill>
      </fill>
    </dxf>
    <dxf>
      <fill>
        <patternFill patternType="solid">
          <bgColor rgb="FF00FF00"/>
        </patternFill>
      </fill>
    </dxf>
    <dxf>
      <fill>
        <patternFill>
          <bgColor rgb="FFFFC000"/>
        </patternFill>
      </fill>
    </dxf>
    <dxf>
      <fill>
        <patternFill>
          <bgColor rgb="FFFFC000"/>
        </patternFill>
      </fill>
    </dxf>
    <dxf>
      <font>
        <color auto="1"/>
      </font>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ndense val="0"/>
        <extend val="0"/>
        <color indexed="11"/>
      </font>
    </dxf>
    <dxf>
      <font>
        <condense val="0"/>
        <extend val="0"/>
        <color indexed="51"/>
      </font>
    </dxf>
    <dxf>
      <font>
        <condense val="0"/>
        <extend val="0"/>
        <color indexed="10"/>
      </font>
    </dxf>
    <dxf>
      <font>
        <condense val="0"/>
        <extend val="0"/>
        <color indexed="10"/>
      </font>
    </dxf>
    <dxf>
      <font>
        <condense val="0"/>
        <extend val="0"/>
        <color indexed="51"/>
      </font>
    </dxf>
    <dxf>
      <font>
        <condense val="0"/>
        <extend val="0"/>
        <color indexed="11"/>
      </font>
    </dxf>
    <dxf>
      <font>
        <condense val="0"/>
        <extend val="0"/>
        <color indexed="11"/>
      </font>
    </dxf>
    <dxf>
      <font>
        <condense val="0"/>
        <extend val="0"/>
        <color indexed="51"/>
      </font>
    </dxf>
    <dxf>
      <font>
        <condense val="0"/>
        <extend val="0"/>
        <color indexed="10"/>
      </font>
    </dxf>
    <dxf>
      <fill>
        <patternFill patternType="solid">
          <fgColor rgb="FFFFC000"/>
          <bgColor rgb="FF000000"/>
        </patternFill>
      </fill>
    </dxf>
  </dxfs>
  <tableStyles count="0" defaultTableStyle="TableStyleMedium2" defaultPivotStyle="PivotStyleLight16"/>
  <colors>
    <mruColors>
      <color rgb="FF00FF00"/>
      <color rgb="FFE9D8F4"/>
      <color rgb="FFD9B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485775</xdr:colOff>
      <xdr:row>2</xdr:row>
      <xdr:rowOff>0</xdr:rowOff>
    </xdr:from>
    <xdr:to>
      <xdr:col>0</xdr:col>
      <xdr:colOff>485775</xdr:colOff>
      <xdr:row>7</xdr:row>
      <xdr:rowOff>0</xdr:rowOff>
    </xdr:to>
    <xdr:sp macro="" textlink="">
      <xdr:nvSpPr>
        <xdr:cNvPr id="12" name="Line 1">
          <a:extLst>
            <a:ext uri="{FF2B5EF4-FFF2-40B4-BE49-F238E27FC236}">
              <a16:creationId xmlns:a16="http://schemas.microsoft.com/office/drawing/2014/main" id="{00000000-0008-0000-0400-00000C000000}"/>
            </a:ext>
          </a:extLst>
        </xdr:cNvPr>
        <xdr:cNvSpPr>
          <a:spLocks noChangeShapeType="1"/>
        </xdr:cNvSpPr>
      </xdr:nvSpPr>
      <xdr:spPr bwMode="auto">
        <a:xfrm flipV="1">
          <a:off x="485775" y="952500"/>
          <a:ext cx="0" cy="285750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669922</xdr:colOff>
      <xdr:row>2</xdr:row>
      <xdr:rowOff>28575</xdr:rowOff>
    </xdr:from>
    <xdr:to>
      <xdr:col>10</xdr:col>
      <xdr:colOff>669922</xdr:colOff>
      <xdr:row>7</xdr:row>
      <xdr:rowOff>28575</xdr:rowOff>
    </xdr:to>
    <xdr:sp macro="" textlink="">
      <xdr:nvSpPr>
        <xdr:cNvPr id="14" name="Line 4">
          <a:extLst>
            <a:ext uri="{FF2B5EF4-FFF2-40B4-BE49-F238E27FC236}">
              <a16:creationId xmlns:a16="http://schemas.microsoft.com/office/drawing/2014/main" id="{00000000-0008-0000-0400-00000E000000}"/>
            </a:ext>
          </a:extLst>
        </xdr:cNvPr>
        <xdr:cNvSpPr>
          <a:spLocks noChangeShapeType="1"/>
        </xdr:cNvSpPr>
      </xdr:nvSpPr>
      <xdr:spPr bwMode="auto">
        <a:xfrm flipV="1">
          <a:off x="7762384" y="985960"/>
          <a:ext cx="0" cy="2393461"/>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48848</xdr:colOff>
      <xdr:row>8</xdr:row>
      <xdr:rowOff>83040</xdr:rowOff>
    </xdr:from>
    <xdr:to>
      <xdr:col>16</xdr:col>
      <xdr:colOff>849918</xdr:colOff>
      <xdr:row>8</xdr:row>
      <xdr:rowOff>83040</xdr:rowOff>
    </xdr:to>
    <xdr:sp macro="" textlink="">
      <xdr:nvSpPr>
        <xdr:cNvPr id="2" name="Line 4">
          <a:extLst>
            <a:ext uri="{FF2B5EF4-FFF2-40B4-BE49-F238E27FC236}">
              <a16:creationId xmlns:a16="http://schemas.microsoft.com/office/drawing/2014/main" id="{A01C4B33-D1FD-4E2E-A763-7D0EB4B233B1}"/>
            </a:ext>
          </a:extLst>
        </xdr:cNvPr>
        <xdr:cNvSpPr>
          <a:spLocks noChangeShapeType="1"/>
        </xdr:cNvSpPr>
      </xdr:nvSpPr>
      <xdr:spPr bwMode="auto">
        <a:xfrm rot="5400000" flipV="1">
          <a:off x="11117383" y="1597274"/>
          <a:ext cx="0" cy="4630608"/>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txBody>
        <a:bodyPr/>
        <a:lstStyle/>
        <a:p>
          <a:endParaRPr lang="en-US"/>
        </a:p>
      </xdr:txBody>
    </xdr:sp>
    <xdr:clientData/>
  </xdr:twoCellAnchor>
  <xdr:twoCellAnchor>
    <xdr:from>
      <xdr:col>2</xdr:col>
      <xdr:colOff>9768</xdr:colOff>
      <xdr:row>8</xdr:row>
      <xdr:rowOff>68383</xdr:rowOff>
    </xdr:from>
    <xdr:to>
      <xdr:col>6</xdr:col>
      <xdr:colOff>810838</xdr:colOff>
      <xdr:row>8</xdr:row>
      <xdr:rowOff>68383</xdr:rowOff>
    </xdr:to>
    <xdr:sp macro="" textlink="">
      <xdr:nvSpPr>
        <xdr:cNvPr id="3" name="Line 4">
          <a:extLst>
            <a:ext uri="{FF2B5EF4-FFF2-40B4-BE49-F238E27FC236}">
              <a16:creationId xmlns:a16="http://schemas.microsoft.com/office/drawing/2014/main" id="{D13198CC-099B-44F2-A79D-5B373F26443F}"/>
            </a:ext>
          </a:extLst>
        </xdr:cNvPr>
        <xdr:cNvSpPr>
          <a:spLocks noChangeShapeType="1"/>
        </xdr:cNvSpPr>
      </xdr:nvSpPr>
      <xdr:spPr bwMode="auto">
        <a:xfrm rot="5400000" flipV="1">
          <a:off x="3292226" y="1582617"/>
          <a:ext cx="0" cy="4630608"/>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txBody>
        <a:body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485775</xdr:colOff>
      <xdr:row>3</xdr:row>
      <xdr:rowOff>0</xdr:rowOff>
    </xdr:from>
    <xdr:to>
      <xdr:col>2</xdr:col>
      <xdr:colOff>495300</xdr:colOff>
      <xdr:row>4</xdr:row>
      <xdr:rowOff>0</xdr:rowOff>
    </xdr:to>
    <xdr:sp macro="" textlink="">
      <xdr:nvSpPr>
        <xdr:cNvPr id="2" name="Line 1">
          <a:extLst>
            <a:ext uri="{FF2B5EF4-FFF2-40B4-BE49-F238E27FC236}">
              <a16:creationId xmlns:a16="http://schemas.microsoft.com/office/drawing/2014/main" id="{00000000-0008-0000-0700-000002000000}"/>
            </a:ext>
          </a:extLst>
        </xdr:cNvPr>
        <xdr:cNvSpPr>
          <a:spLocks noChangeShapeType="1"/>
        </xdr:cNvSpPr>
      </xdr:nvSpPr>
      <xdr:spPr bwMode="auto">
        <a:xfrm flipH="1">
          <a:off x="1762125" y="1552575"/>
          <a:ext cx="9525" cy="247650"/>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4</xdr:col>
      <xdr:colOff>342900</xdr:colOff>
      <xdr:row>5</xdr:row>
      <xdr:rowOff>0</xdr:rowOff>
    </xdr:from>
    <xdr:to>
      <xdr:col>4</xdr:col>
      <xdr:colOff>342900</xdr:colOff>
      <xdr:row>6</xdr:row>
      <xdr:rowOff>0</xdr:rowOff>
    </xdr:to>
    <xdr:sp macro="" textlink="">
      <xdr:nvSpPr>
        <xdr:cNvPr id="3" name="Line 2">
          <a:extLst>
            <a:ext uri="{FF2B5EF4-FFF2-40B4-BE49-F238E27FC236}">
              <a16:creationId xmlns:a16="http://schemas.microsoft.com/office/drawing/2014/main" id="{00000000-0008-0000-0700-000003000000}"/>
            </a:ext>
          </a:extLst>
        </xdr:cNvPr>
        <xdr:cNvSpPr>
          <a:spLocks noChangeShapeType="1"/>
        </xdr:cNvSpPr>
      </xdr:nvSpPr>
      <xdr:spPr bwMode="auto">
        <a:xfrm>
          <a:off x="3028950" y="2771775"/>
          <a:ext cx="0" cy="247650"/>
        </a:xfrm>
        <a:prstGeom prst="line">
          <a:avLst/>
        </a:prstGeom>
        <a:noFill/>
        <a:ln w="28575">
          <a:solidFill>
            <a:srgbClr val="FF0000"/>
          </a:solidFill>
          <a:round/>
          <a:headEnd/>
          <a:tailEnd type="stealth"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9525</xdr:colOff>
      <xdr:row>4</xdr:row>
      <xdr:rowOff>476250</xdr:rowOff>
    </xdr:from>
    <xdr:to>
      <xdr:col>6</xdr:col>
      <xdr:colOff>381000</xdr:colOff>
      <xdr:row>8</xdr:row>
      <xdr:rowOff>0</xdr:rowOff>
    </xdr:to>
    <xdr:cxnSp macro="">
      <xdr:nvCxnSpPr>
        <xdr:cNvPr id="4" name="AutoShape 3">
          <a:extLst>
            <a:ext uri="{FF2B5EF4-FFF2-40B4-BE49-F238E27FC236}">
              <a16:creationId xmlns:a16="http://schemas.microsoft.com/office/drawing/2014/main" id="{00000000-0008-0000-0700-000004000000}"/>
            </a:ext>
          </a:extLst>
        </xdr:cNvPr>
        <xdr:cNvCxnSpPr>
          <a:cxnSpLocks noChangeShapeType="1"/>
        </xdr:cNvCxnSpPr>
      </xdr:nvCxnSpPr>
      <xdr:spPr bwMode="auto">
        <a:xfrm rot="16200000" flipH="1">
          <a:off x="3086100" y="2847975"/>
          <a:ext cx="1962150" cy="819150"/>
        </a:xfrm>
        <a:prstGeom prst="bentConnector3">
          <a:avLst>
            <a:gd name="adj1" fmla="val 0"/>
          </a:avLst>
        </a:prstGeom>
        <a:noFill/>
        <a:ln w="28575">
          <a:solidFill>
            <a:srgbClr val="FF0000"/>
          </a:solidFill>
          <a:miter lim="800000"/>
          <a:headEnd/>
          <a:tailEnd type="stealth" w="lg" len="lg"/>
        </a:ln>
        <a:extLst>
          <a:ext uri="{909E8E84-426E-40DD-AFC4-6F175D3DCCD1}">
            <a14:hiddenFill xmlns:a14="http://schemas.microsoft.com/office/drawing/2010/main">
              <a:noFill/>
            </a14:hiddenFill>
          </a:ext>
        </a:extLst>
      </xdr:spPr>
    </xdr:cxnSp>
    <xdr:clientData/>
  </xdr:twoCellAnchor>
  <xdr:twoCellAnchor>
    <xdr:from>
      <xdr:col>3</xdr:col>
      <xdr:colOff>9525</xdr:colOff>
      <xdr:row>4</xdr:row>
      <xdr:rowOff>514350</xdr:rowOff>
    </xdr:from>
    <xdr:to>
      <xdr:col>4</xdr:col>
      <xdr:colOff>9525</xdr:colOff>
      <xdr:row>4</xdr:row>
      <xdr:rowOff>514350</xdr:rowOff>
    </xdr:to>
    <xdr:sp macro="" textlink="">
      <xdr:nvSpPr>
        <xdr:cNvPr id="5" name="Line 4">
          <a:extLst>
            <a:ext uri="{FF2B5EF4-FFF2-40B4-BE49-F238E27FC236}">
              <a16:creationId xmlns:a16="http://schemas.microsoft.com/office/drawing/2014/main" id="{00000000-0008-0000-0700-000005000000}"/>
            </a:ext>
          </a:extLst>
        </xdr:cNvPr>
        <xdr:cNvSpPr>
          <a:spLocks noChangeShapeType="1"/>
        </xdr:cNvSpPr>
      </xdr:nvSpPr>
      <xdr:spPr bwMode="auto">
        <a:xfrm rot="-5400000">
          <a:off x="2471738" y="2090737"/>
          <a:ext cx="0" cy="447675"/>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7</xdr:col>
      <xdr:colOff>9525</xdr:colOff>
      <xdr:row>8</xdr:row>
      <xdr:rowOff>514350</xdr:rowOff>
    </xdr:from>
    <xdr:to>
      <xdr:col>8</xdr:col>
      <xdr:colOff>9525</xdr:colOff>
      <xdr:row>8</xdr:row>
      <xdr:rowOff>514350</xdr:rowOff>
    </xdr:to>
    <xdr:sp macro="" textlink="">
      <xdr:nvSpPr>
        <xdr:cNvPr id="6" name="Line 5">
          <a:extLst>
            <a:ext uri="{FF2B5EF4-FFF2-40B4-BE49-F238E27FC236}">
              <a16:creationId xmlns:a16="http://schemas.microsoft.com/office/drawing/2014/main" id="{00000000-0008-0000-0700-000006000000}"/>
            </a:ext>
          </a:extLst>
        </xdr:cNvPr>
        <xdr:cNvSpPr>
          <a:spLocks noChangeShapeType="1"/>
        </xdr:cNvSpPr>
      </xdr:nvSpPr>
      <xdr:spPr bwMode="auto">
        <a:xfrm rot="-5400000">
          <a:off x="5291138" y="4529137"/>
          <a:ext cx="0" cy="447675"/>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9</xdr:col>
      <xdr:colOff>9525</xdr:colOff>
      <xdr:row>8</xdr:row>
      <xdr:rowOff>514350</xdr:rowOff>
    </xdr:from>
    <xdr:to>
      <xdr:col>10</xdr:col>
      <xdr:colOff>9525</xdr:colOff>
      <xdr:row>8</xdr:row>
      <xdr:rowOff>514350</xdr:rowOff>
    </xdr:to>
    <xdr:sp macro="" textlink="">
      <xdr:nvSpPr>
        <xdr:cNvPr id="7" name="Line 6">
          <a:extLst>
            <a:ext uri="{FF2B5EF4-FFF2-40B4-BE49-F238E27FC236}">
              <a16:creationId xmlns:a16="http://schemas.microsoft.com/office/drawing/2014/main" id="{00000000-0008-0000-0700-000007000000}"/>
            </a:ext>
          </a:extLst>
        </xdr:cNvPr>
        <xdr:cNvSpPr>
          <a:spLocks noChangeShapeType="1"/>
        </xdr:cNvSpPr>
      </xdr:nvSpPr>
      <xdr:spPr bwMode="auto">
        <a:xfrm rot="-5400000">
          <a:off x="6700838" y="4529137"/>
          <a:ext cx="0" cy="447675"/>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13</xdr:col>
      <xdr:colOff>9525</xdr:colOff>
      <xdr:row>10</xdr:row>
      <xdr:rowOff>514350</xdr:rowOff>
    </xdr:from>
    <xdr:to>
      <xdr:col>14</xdr:col>
      <xdr:colOff>9525</xdr:colOff>
      <xdr:row>10</xdr:row>
      <xdr:rowOff>514350</xdr:rowOff>
    </xdr:to>
    <xdr:sp macro="" textlink="">
      <xdr:nvSpPr>
        <xdr:cNvPr id="8" name="Line 7">
          <a:extLst>
            <a:ext uri="{FF2B5EF4-FFF2-40B4-BE49-F238E27FC236}">
              <a16:creationId xmlns:a16="http://schemas.microsoft.com/office/drawing/2014/main" id="{00000000-0008-0000-0700-000008000000}"/>
            </a:ext>
          </a:extLst>
        </xdr:cNvPr>
        <xdr:cNvSpPr>
          <a:spLocks noChangeShapeType="1"/>
        </xdr:cNvSpPr>
      </xdr:nvSpPr>
      <xdr:spPr bwMode="auto">
        <a:xfrm rot="-5400000">
          <a:off x="9520238" y="5748337"/>
          <a:ext cx="0" cy="447675"/>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4</xdr:col>
      <xdr:colOff>333375</xdr:colOff>
      <xdr:row>7</xdr:row>
      <xdr:rowOff>9525</xdr:rowOff>
    </xdr:from>
    <xdr:to>
      <xdr:col>6</xdr:col>
      <xdr:colOff>0</xdr:colOff>
      <xdr:row>8</xdr:row>
      <xdr:rowOff>542925</xdr:rowOff>
    </xdr:to>
    <xdr:cxnSp macro="">
      <xdr:nvCxnSpPr>
        <xdr:cNvPr id="9" name="AutoShape 8">
          <a:extLst>
            <a:ext uri="{FF2B5EF4-FFF2-40B4-BE49-F238E27FC236}">
              <a16:creationId xmlns:a16="http://schemas.microsoft.com/office/drawing/2014/main" id="{00000000-0008-0000-0700-000009000000}"/>
            </a:ext>
          </a:extLst>
        </xdr:cNvPr>
        <xdr:cNvCxnSpPr>
          <a:cxnSpLocks noChangeShapeType="1"/>
        </xdr:cNvCxnSpPr>
      </xdr:nvCxnSpPr>
      <xdr:spPr bwMode="auto">
        <a:xfrm rot="16200000" flipH="1">
          <a:off x="3167063" y="3852862"/>
          <a:ext cx="781050" cy="1076325"/>
        </a:xfrm>
        <a:prstGeom prst="bentConnector3">
          <a:avLst>
            <a:gd name="adj1" fmla="val 101347"/>
          </a:avLst>
        </a:prstGeom>
        <a:noFill/>
        <a:ln w="28575">
          <a:solidFill>
            <a:srgbClr val="FFFF00"/>
          </a:solidFill>
          <a:miter lim="800000"/>
          <a:headEnd/>
          <a:tailEnd type="stealth" w="lg" len="lg"/>
        </a:ln>
        <a:extLst>
          <a:ext uri="{909E8E84-426E-40DD-AFC4-6F175D3DCCD1}">
            <a14:hiddenFill xmlns:a14="http://schemas.microsoft.com/office/drawing/2010/main">
              <a:noFill/>
            </a14:hiddenFill>
          </a:ext>
        </a:extLst>
      </xdr:spPr>
    </xdr:cxnSp>
    <xdr:clientData/>
  </xdr:twoCellAnchor>
  <xdr:twoCellAnchor>
    <xdr:from>
      <xdr:col>10</xdr:col>
      <xdr:colOff>333375</xdr:colOff>
      <xdr:row>9</xdr:row>
      <xdr:rowOff>9525</xdr:rowOff>
    </xdr:from>
    <xdr:to>
      <xdr:col>12</xdr:col>
      <xdr:colOff>0</xdr:colOff>
      <xdr:row>10</xdr:row>
      <xdr:rowOff>542925</xdr:rowOff>
    </xdr:to>
    <xdr:cxnSp macro="">
      <xdr:nvCxnSpPr>
        <xdr:cNvPr id="10" name="AutoShape 9">
          <a:extLst>
            <a:ext uri="{FF2B5EF4-FFF2-40B4-BE49-F238E27FC236}">
              <a16:creationId xmlns:a16="http://schemas.microsoft.com/office/drawing/2014/main" id="{00000000-0008-0000-0700-00000A000000}"/>
            </a:ext>
          </a:extLst>
        </xdr:cNvPr>
        <xdr:cNvCxnSpPr>
          <a:cxnSpLocks noChangeShapeType="1"/>
        </xdr:cNvCxnSpPr>
      </xdr:nvCxnSpPr>
      <xdr:spPr bwMode="auto">
        <a:xfrm rot="16200000" flipH="1">
          <a:off x="7396163" y="5072062"/>
          <a:ext cx="781050" cy="1076325"/>
        </a:xfrm>
        <a:prstGeom prst="bentConnector3">
          <a:avLst>
            <a:gd name="adj1" fmla="val 101347"/>
          </a:avLst>
        </a:prstGeom>
        <a:noFill/>
        <a:ln w="28575">
          <a:solidFill>
            <a:srgbClr val="FFFF00"/>
          </a:solidFill>
          <a:miter lim="800000"/>
          <a:headEnd/>
          <a:tailEnd type="stealth" w="lg" len="lg"/>
        </a:ln>
        <a:extLst>
          <a:ext uri="{909E8E84-426E-40DD-AFC4-6F175D3DCCD1}">
            <a14:hiddenFill xmlns:a14="http://schemas.microsoft.com/office/drawing/2010/main">
              <a:noFill/>
            </a14:hiddenFill>
          </a:ext>
        </a:extLst>
      </xdr:spPr>
    </xdr:cxnSp>
    <xdr:clientData/>
  </xdr:twoCellAnchor>
  <xdr:oneCellAnchor>
    <xdr:from>
      <xdr:col>5</xdr:col>
      <xdr:colOff>104775</xdr:colOff>
      <xdr:row>4</xdr:row>
      <xdr:rowOff>209550</xdr:rowOff>
    </xdr:from>
    <xdr:ext cx="210827" cy="174984"/>
    <xdr:sp macro="" textlink="">
      <xdr:nvSpPr>
        <xdr:cNvPr id="11" name="Text Box 10">
          <a:extLst>
            <a:ext uri="{FF2B5EF4-FFF2-40B4-BE49-F238E27FC236}">
              <a16:creationId xmlns:a16="http://schemas.microsoft.com/office/drawing/2014/main" id="{00000000-0008-0000-0700-00000B000000}"/>
            </a:ext>
          </a:extLst>
        </xdr:cNvPr>
        <xdr:cNvSpPr txBox="1">
          <a:spLocks noChangeArrowheads="1"/>
        </xdr:cNvSpPr>
      </xdr:nvSpPr>
      <xdr:spPr bwMode="auto">
        <a:xfrm>
          <a:off x="3752850" y="2009775"/>
          <a:ext cx="210827" cy="17498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sz="1000" b="0" i="0" u="none" strike="noStrike" baseline="0">
              <a:solidFill>
                <a:srgbClr val="000000"/>
              </a:solidFill>
              <a:latin typeface="Arial"/>
              <a:cs typeface="Arial"/>
            </a:rPr>
            <a:t>low</a:t>
          </a:r>
          <a:endParaRPr lang="en-US"/>
        </a:p>
      </xdr:txBody>
    </xdr:sp>
    <xdr:clientData/>
  </xdr:oneCellAnchor>
  <xdr:oneCellAnchor>
    <xdr:from>
      <xdr:col>4</xdr:col>
      <xdr:colOff>381000</xdr:colOff>
      <xdr:row>5</xdr:row>
      <xdr:rowOff>57150</xdr:rowOff>
    </xdr:from>
    <xdr:ext cx="260841" cy="174984"/>
    <xdr:sp macro="" textlink="">
      <xdr:nvSpPr>
        <xdr:cNvPr id="12" name="Text Box 11">
          <a:extLst>
            <a:ext uri="{FF2B5EF4-FFF2-40B4-BE49-F238E27FC236}">
              <a16:creationId xmlns:a16="http://schemas.microsoft.com/office/drawing/2014/main" id="{00000000-0008-0000-0700-00000C000000}"/>
            </a:ext>
          </a:extLst>
        </xdr:cNvPr>
        <xdr:cNvSpPr txBox="1">
          <a:spLocks noChangeArrowheads="1"/>
        </xdr:cNvSpPr>
      </xdr:nvSpPr>
      <xdr:spPr bwMode="auto">
        <a:xfrm>
          <a:off x="3067050" y="2828925"/>
          <a:ext cx="260841" cy="17498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sz="1000" b="0" i="0" u="none" strike="noStrike" baseline="0">
              <a:solidFill>
                <a:srgbClr val="000000"/>
              </a:solidFill>
              <a:latin typeface="Arial"/>
              <a:cs typeface="Arial"/>
            </a:rPr>
            <a:t>high</a:t>
          </a:r>
          <a:endParaRPr lang="en-US"/>
        </a:p>
      </xdr:txBody>
    </xdr:sp>
    <xdr:clientData/>
  </xdr:oneCellAnchor>
  <xdr:twoCellAnchor>
    <xdr:from>
      <xdr:col>10</xdr:col>
      <xdr:colOff>0</xdr:colOff>
      <xdr:row>8</xdr:row>
      <xdr:rowOff>0</xdr:rowOff>
    </xdr:from>
    <xdr:to>
      <xdr:col>11</xdr:col>
      <xdr:colOff>0</xdr:colOff>
      <xdr:row>9</xdr:row>
      <xdr:rowOff>0</xdr:rowOff>
    </xdr:to>
    <xdr:sp macro="" textlink="">
      <xdr:nvSpPr>
        <xdr:cNvPr id="13" name="Rectangle 12">
          <a:extLst>
            <a:ext uri="{FF2B5EF4-FFF2-40B4-BE49-F238E27FC236}">
              <a16:creationId xmlns:a16="http://schemas.microsoft.com/office/drawing/2014/main" id="{00000000-0008-0000-0700-00000D000000}"/>
            </a:ext>
          </a:extLst>
        </xdr:cNvPr>
        <xdr:cNvSpPr>
          <a:spLocks noChangeArrowheads="1"/>
        </xdr:cNvSpPr>
      </xdr:nvSpPr>
      <xdr:spPr bwMode="auto">
        <a:xfrm>
          <a:off x="6915150" y="42386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12</xdr:col>
      <xdr:colOff>0</xdr:colOff>
      <xdr:row>10</xdr:row>
      <xdr:rowOff>0</xdr:rowOff>
    </xdr:from>
    <xdr:to>
      <xdr:col>13</xdr:col>
      <xdr:colOff>0</xdr:colOff>
      <xdr:row>11</xdr:row>
      <xdr:rowOff>0</xdr:rowOff>
    </xdr:to>
    <xdr:sp macro="" textlink="">
      <xdr:nvSpPr>
        <xdr:cNvPr id="14" name="Rectangle 13">
          <a:extLst>
            <a:ext uri="{FF2B5EF4-FFF2-40B4-BE49-F238E27FC236}">
              <a16:creationId xmlns:a16="http://schemas.microsoft.com/office/drawing/2014/main" id="{00000000-0008-0000-0700-00000E000000}"/>
            </a:ext>
          </a:extLst>
        </xdr:cNvPr>
        <xdr:cNvSpPr>
          <a:spLocks noChangeArrowheads="1"/>
        </xdr:cNvSpPr>
      </xdr:nvSpPr>
      <xdr:spPr bwMode="auto">
        <a:xfrm>
          <a:off x="8324850" y="54578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14</xdr:col>
      <xdr:colOff>0</xdr:colOff>
      <xdr:row>10</xdr:row>
      <xdr:rowOff>0</xdr:rowOff>
    </xdr:from>
    <xdr:to>
      <xdr:col>15</xdr:col>
      <xdr:colOff>0</xdr:colOff>
      <xdr:row>11</xdr:row>
      <xdr:rowOff>0</xdr:rowOff>
    </xdr:to>
    <xdr:sp macro="" textlink="">
      <xdr:nvSpPr>
        <xdr:cNvPr id="15" name="Rectangle 14">
          <a:extLst>
            <a:ext uri="{FF2B5EF4-FFF2-40B4-BE49-F238E27FC236}">
              <a16:creationId xmlns:a16="http://schemas.microsoft.com/office/drawing/2014/main" id="{00000000-0008-0000-0700-00000F000000}"/>
            </a:ext>
          </a:extLst>
        </xdr:cNvPr>
        <xdr:cNvSpPr>
          <a:spLocks noChangeArrowheads="1"/>
        </xdr:cNvSpPr>
      </xdr:nvSpPr>
      <xdr:spPr bwMode="auto">
        <a:xfrm>
          <a:off x="9734550" y="54578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8</xdr:col>
      <xdr:colOff>0</xdr:colOff>
      <xdr:row>8</xdr:row>
      <xdr:rowOff>0</xdr:rowOff>
    </xdr:from>
    <xdr:to>
      <xdr:col>9</xdr:col>
      <xdr:colOff>0</xdr:colOff>
      <xdr:row>9</xdr:row>
      <xdr:rowOff>0</xdr:rowOff>
    </xdr:to>
    <xdr:sp macro="" textlink="">
      <xdr:nvSpPr>
        <xdr:cNvPr id="16" name="Rectangle 15">
          <a:extLst>
            <a:ext uri="{FF2B5EF4-FFF2-40B4-BE49-F238E27FC236}">
              <a16:creationId xmlns:a16="http://schemas.microsoft.com/office/drawing/2014/main" id="{00000000-0008-0000-0700-000010000000}"/>
            </a:ext>
          </a:extLst>
        </xdr:cNvPr>
        <xdr:cNvSpPr>
          <a:spLocks noChangeArrowheads="1"/>
        </xdr:cNvSpPr>
      </xdr:nvSpPr>
      <xdr:spPr bwMode="auto">
        <a:xfrm>
          <a:off x="5505450" y="42386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6</xdr:col>
      <xdr:colOff>0</xdr:colOff>
      <xdr:row>8</xdr:row>
      <xdr:rowOff>0</xdr:rowOff>
    </xdr:from>
    <xdr:to>
      <xdr:col>7</xdr:col>
      <xdr:colOff>0</xdr:colOff>
      <xdr:row>9</xdr:row>
      <xdr:rowOff>0</xdr:rowOff>
    </xdr:to>
    <xdr:sp macro="" textlink="">
      <xdr:nvSpPr>
        <xdr:cNvPr id="17" name="Rectangle 16">
          <a:extLst>
            <a:ext uri="{FF2B5EF4-FFF2-40B4-BE49-F238E27FC236}">
              <a16:creationId xmlns:a16="http://schemas.microsoft.com/office/drawing/2014/main" id="{00000000-0008-0000-0700-000011000000}"/>
            </a:ext>
          </a:extLst>
        </xdr:cNvPr>
        <xdr:cNvSpPr>
          <a:spLocks noChangeArrowheads="1"/>
        </xdr:cNvSpPr>
      </xdr:nvSpPr>
      <xdr:spPr bwMode="auto">
        <a:xfrm>
          <a:off x="4095750" y="42386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4</xdr:col>
      <xdr:colOff>0</xdr:colOff>
      <xdr:row>6</xdr:row>
      <xdr:rowOff>0</xdr:rowOff>
    </xdr:from>
    <xdr:to>
      <xdr:col>5</xdr:col>
      <xdr:colOff>0</xdr:colOff>
      <xdr:row>7</xdr:row>
      <xdr:rowOff>0</xdr:rowOff>
    </xdr:to>
    <xdr:sp macro="" textlink="">
      <xdr:nvSpPr>
        <xdr:cNvPr id="18" name="Rectangle 17">
          <a:extLst>
            <a:ext uri="{FF2B5EF4-FFF2-40B4-BE49-F238E27FC236}">
              <a16:creationId xmlns:a16="http://schemas.microsoft.com/office/drawing/2014/main" id="{00000000-0008-0000-0700-000012000000}"/>
            </a:ext>
          </a:extLst>
        </xdr:cNvPr>
        <xdr:cNvSpPr>
          <a:spLocks noChangeArrowheads="1"/>
        </xdr:cNvSpPr>
      </xdr:nvSpPr>
      <xdr:spPr bwMode="auto">
        <a:xfrm>
          <a:off x="2686050" y="30194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xdr:col>
      <xdr:colOff>0</xdr:colOff>
      <xdr:row>2</xdr:row>
      <xdr:rowOff>0</xdr:rowOff>
    </xdr:from>
    <xdr:to>
      <xdr:col>3</xdr:col>
      <xdr:colOff>0</xdr:colOff>
      <xdr:row>3</xdr:row>
      <xdr:rowOff>0</xdr:rowOff>
    </xdr:to>
    <xdr:sp macro="" textlink="">
      <xdr:nvSpPr>
        <xdr:cNvPr id="19" name="Rectangle 18">
          <a:extLst>
            <a:ext uri="{FF2B5EF4-FFF2-40B4-BE49-F238E27FC236}">
              <a16:creationId xmlns:a16="http://schemas.microsoft.com/office/drawing/2014/main" id="{00000000-0008-0000-0700-000013000000}"/>
            </a:ext>
          </a:extLst>
        </xdr:cNvPr>
        <xdr:cNvSpPr>
          <a:spLocks noChangeArrowheads="1"/>
        </xdr:cNvSpPr>
      </xdr:nvSpPr>
      <xdr:spPr bwMode="auto">
        <a:xfrm>
          <a:off x="1276350" y="5810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xdr:col>
      <xdr:colOff>0</xdr:colOff>
      <xdr:row>4</xdr:row>
      <xdr:rowOff>0</xdr:rowOff>
    </xdr:from>
    <xdr:to>
      <xdr:col>3</xdr:col>
      <xdr:colOff>0</xdr:colOff>
      <xdr:row>5</xdr:row>
      <xdr:rowOff>0</xdr:rowOff>
    </xdr:to>
    <xdr:sp macro="" textlink="">
      <xdr:nvSpPr>
        <xdr:cNvPr id="20" name="Rectangle 19">
          <a:extLst>
            <a:ext uri="{FF2B5EF4-FFF2-40B4-BE49-F238E27FC236}">
              <a16:creationId xmlns:a16="http://schemas.microsoft.com/office/drawing/2014/main" id="{00000000-0008-0000-0700-000014000000}"/>
            </a:ext>
          </a:extLst>
        </xdr:cNvPr>
        <xdr:cNvSpPr>
          <a:spLocks noChangeArrowheads="1"/>
        </xdr:cNvSpPr>
      </xdr:nvSpPr>
      <xdr:spPr bwMode="auto">
        <a:xfrm>
          <a:off x="1276350" y="18002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4</xdr:col>
      <xdr:colOff>0</xdr:colOff>
      <xdr:row>4</xdr:row>
      <xdr:rowOff>0</xdr:rowOff>
    </xdr:from>
    <xdr:to>
      <xdr:col>5</xdr:col>
      <xdr:colOff>0</xdr:colOff>
      <xdr:row>5</xdr:row>
      <xdr:rowOff>0</xdr:rowOff>
    </xdr:to>
    <xdr:sp macro="" textlink="">
      <xdr:nvSpPr>
        <xdr:cNvPr id="21" name="Rectangle 20">
          <a:extLst>
            <a:ext uri="{FF2B5EF4-FFF2-40B4-BE49-F238E27FC236}">
              <a16:creationId xmlns:a16="http://schemas.microsoft.com/office/drawing/2014/main" id="{00000000-0008-0000-0700-000015000000}"/>
            </a:ext>
          </a:extLst>
        </xdr:cNvPr>
        <xdr:cNvSpPr>
          <a:spLocks noChangeArrowheads="1"/>
        </xdr:cNvSpPr>
      </xdr:nvSpPr>
      <xdr:spPr bwMode="auto">
        <a:xfrm>
          <a:off x="2686050" y="18002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2</xdr:row>
      <xdr:rowOff>0</xdr:rowOff>
    </xdr:from>
    <xdr:to>
      <xdr:col>1</xdr:col>
      <xdr:colOff>0</xdr:colOff>
      <xdr:row>3</xdr:row>
      <xdr:rowOff>0</xdr:rowOff>
    </xdr:to>
    <xdr:sp macro="" textlink="">
      <xdr:nvSpPr>
        <xdr:cNvPr id="22" name="Rectangle 21">
          <a:extLst>
            <a:ext uri="{FF2B5EF4-FFF2-40B4-BE49-F238E27FC236}">
              <a16:creationId xmlns:a16="http://schemas.microsoft.com/office/drawing/2014/main" id="{00000000-0008-0000-0700-000016000000}"/>
            </a:ext>
          </a:extLst>
        </xdr:cNvPr>
        <xdr:cNvSpPr>
          <a:spLocks noChangeArrowheads="1"/>
        </xdr:cNvSpPr>
      </xdr:nvSpPr>
      <xdr:spPr bwMode="auto">
        <a:xfrm>
          <a:off x="0" y="5810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4</xdr:row>
      <xdr:rowOff>0</xdr:rowOff>
    </xdr:from>
    <xdr:to>
      <xdr:col>1</xdr:col>
      <xdr:colOff>0</xdr:colOff>
      <xdr:row>5</xdr:row>
      <xdr:rowOff>0</xdr:rowOff>
    </xdr:to>
    <xdr:sp macro="" textlink="">
      <xdr:nvSpPr>
        <xdr:cNvPr id="23" name="Rectangle 22">
          <a:extLst>
            <a:ext uri="{FF2B5EF4-FFF2-40B4-BE49-F238E27FC236}">
              <a16:creationId xmlns:a16="http://schemas.microsoft.com/office/drawing/2014/main" id="{00000000-0008-0000-0700-000017000000}"/>
            </a:ext>
          </a:extLst>
        </xdr:cNvPr>
        <xdr:cNvSpPr>
          <a:spLocks noChangeArrowheads="1"/>
        </xdr:cNvSpPr>
      </xdr:nvSpPr>
      <xdr:spPr bwMode="auto">
        <a:xfrm>
          <a:off x="0" y="18002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6</xdr:row>
      <xdr:rowOff>0</xdr:rowOff>
    </xdr:from>
    <xdr:to>
      <xdr:col>1</xdr:col>
      <xdr:colOff>0</xdr:colOff>
      <xdr:row>7</xdr:row>
      <xdr:rowOff>0</xdr:rowOff>
    </xdr:to>
    <xdr:sp macro="" textlink="">
      <xdr:nvSpPr>
        <xdr:cNvPr id="24" name="Rectangle 23">
          <a:extLst>
            <a:ext uri="{FF2B5EF4-FFF2-40B4-BE49-F238E27FC236}">
              <a16:creationId xmlns:a16="http://schemas.microsoft.com/office/drawing/2014/main" id="{00000000-0008-0000-0700-000018000000}"/>
            </a:ext>
          </a:extLst>
        </xdr:cNvPr>
        <xdr:cNvSpPr>
          <a:spLocks noChangeArrowheads="1"/>
        </xdr:cNvSpPr>
      </xdr:nvSpPr>
      <xdr:spPr bwMode="auto">
        <a:xfrm>
          <a:off x="0" y="30194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8</xdr:row>
      <xdr:rowOff>0</xdr:rowOff>
    </xdr:from>
    <xdr:to>
      <xdr:col>1</xdr:col>
      <xdr:colOff>0</xdr:colOff>
      <xdr:row>9</xdr:row>
      <xdr:rowOff>0</xdr:rowOff>
    </xdr:to>
    <xdr:sp macro="" textlink="">
      <xdr:nvSpPr>
        <xdr:cNvPr id="25" name="Rectangle 24">
          <a:extLst>
            <a:ext uri="{FF2B5EF4-FFF2-40B4-BE49-F238E27FC236}">
              <a16:creationId xmlns:a16="http://schemas.microsoft.com/office/drawing/2014/main" id="{00000000-0008-0000-0700-000019000000}"/>
            </a:ext>
          </a:extLst>
        </xdr:cNvPr>
        <xdr:cNvSpPr>
          <a:spLocks noChangeArrowheads="1"/>
        </xdr:cNvSpPr>
      </xdr:nvSpPr>
      <xdr:spPr bwMode="auto">
        <a:xfrm>
          <a:off x="0" y="42386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10</xdr:row>
      <xdr:rowOff>0</xdr:rowOff>
    </xdr:from>
    <xdr:to>
      <xdr:col>1</xdr:col>
      <xdr:colOff>0</xdr:colOff>
      <xdr:row>11</xdr:row>
      <xdr:rowOff>0</xdr:rowOff>
    </xdr:to>
    <xdr:sp macro="" textlink="">
      <xdr:nvSpPr>
        <xdr:cNvPr id="26" name="Rectangle 25">
          <a:extLst>
            <a:ext uri="{FF2B5EF4-FFF2-40B4-BE49-F238E27FC236}">
              <a16:creationId xmlns:a16="http://schemas.microsoft.com/office/drawing/2014/main" id="{00000000-0008-0000-0700-00001A000000}"/>
            </a:ext>
          </a:extLst>
        </xdr:cNvPr>
        <xdr:cNvSpPr>
          <a:spLocks noChangeArrowheads="1"/>
        </xdr:cNvSpPr>
      </xdr:nvSpPr>
      <xdr:spPr bwMode="auto">
        <a:xfrm>
          <a:off x="0" y="54578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0</xdr:row>
      <xdr:rowOff>0</xdr:rowOff>
    </xdr:from>
    <xdr:to>
      <xdr:col>15</xdr:col>
      <xdr:colOff>0</xdr:colOff>
      <xdr:row>1</xdr:row>
      <xdr:rowOff>0</xdr:rowOff>
    </xdr:to>
    <xdr:sp macro="" textlink="">
      <xdr:nvSpPr>
        <xdr:cNvPr id="27" name="Rectangle 26">
          <a:extLst>
            <a:ext uri="{FF2B5EF4-FFF2-40B4-BE49-F238E27FC236}">
              <a16:creationId xmlns:a16="http://schemas.microsoft.com/office/drawing/2014/main" id="{00000000-0008-0000-0700-00001B000000}"/>
            </a:ext>
          </a:extLst>
        </xdr:cNvPr>
        <xdr:cNvSpPr>
          <a:spLocks noChangeArrowheads="1"/>
        </xdr:cNvSpPr>
      </xdr:nvSpPr>
      <xdr:spPr bwMode="auto">
        <a:xfrm>
          <a:off x="0" y="0"/>
          <a:ext cx="10696575" cy="285750"/>
        </a:xfrm>
        <a:prstGeom prst="rect">
          <a:avLst/>
        </a:prstGeom>
        <a:noFill/>
        <a:ln w="9525">
          <a:solidFill>
            <a:srgbClr val="000000"/>
          </a:solidFill>
          <a:miter lim="800000"/>
          <a:headEnd/>
          <a:tailEnd/>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AF507438-7753-43E0-B8FC-AC1667EBCBE1}">
            <a14:hiddenEffects xmlns:a14="http://schemas.microsoft.com/office/drawing/2010/main">
              <a:effectLst>
                <a:outerShdw dist="35921" dir="2700000" algn="ctr" rotWithShape="0">
                  <a:srgbClr val="808080"/>
                </a:outerShdw>
              </a:effectLst>
            </a14:hiddenEffects>
          </a:ext>
          <a:ext uri="{53640926-AAD7-44D8-BBD7-CCE9431645EC}">
            <a14:shadowObscured xmlns:a14="http://schemas.microsoft.com/office/drawing/2010/main" val="1"/>
          </a:ext>
        </a:extLst>
      </xdr:spPr>
    </xdr:sp>
    <xdr:clientData/>
  </xdr:twoCellAnchor>
  <xdr:twoCellAnchor>
    <xdr:from>
      <xdr:col>0</xdr:col>
      <xdr:colOff>0</xdr:colOff>
      <xdr:row>0</xdr:row>
      <xdr:rowOff>0</xdr:rowOff>
    </xdr:from>
    <xdr:to>
      <xdr:col>15</xdr:col>
      <xdr:colOff>0</xdr:colOff>
      <xdr:row>1</xdr:row>
      <xdr:rowOff>0</xdr:rowOff>
    </xdr:to>
    <xdr:sp macro="" textlink="">
      <xdr:nvSpPr>
        <xdr:cNvPr id="28" name="Rectangle 27">
          <a:extLst>
            <a:ext uri="{FF2B5EF4-FFF2-40B4-BE49-F238E27FC236}">
              <a16:creationId xmlns:a16="http://schemas.microsoft.com/office/drawing/2014/main" id="{00000000-0008-0000-0700-00001C000000}"/>
            </a:ext>
          </a:extLst>
        </xdr:cNvPr>
        <xdr:cNvSpPr>
          <a:spLocks noChangeArrowheads="1"/>
        </xdr:cNvSpPr>
      </xdr:nvSpPr>
      <xdr:spPr bwMode="auto">
        <a:xfrm>
          <a:off x="0" y="0"/>
          <a:ext cx="10696575" cy="2857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4"/>
  <sheetViews>
    <sheetView topLeftCell="A167" zoomScaleNormal="100" workbookViewId="0">
      <selection activeCell="G180" sqref="G180"/>
    </sheetView>
  </sheetViews>
  <sheetFormatPr defaultRowHeight="14.5"/>
  <cols>
    <col min="1" max="1" width="11.54296875" style="130" customWidth="1"/>
    <col min="2" max="2" width="12.453125" style="105" customWidth="1"/>
    <col min="3" max="3" width="42" style="105" customWidth="1"/>
    <col min="4" max="4" width="23.81640625" style="105" customWidth="1"/>
    <col min="5" max="5" width="22.08984375" bestFit="1" customWidth="1"/>
  </cols>
  <sheetData>
    <row r="1" spans="1:5" ht="15" customHeight="1" thickBot="1">
      <c r="A1" s="273" t="s">
        <v>529</v>
      </c>
      <c r="B1" s="274"/>
      <c r="C1" s="274"/>
      <c r="D1" s="274"/>
      <c r="E1" s="275"/>
    </row>
    <row r="2" spans="1:5" ht="18.75" customHeight="1" thickBot="1">
      <c r="A2" s="189" t="s">
        <v>518</v>
      </c>
      <c r="B2" s="190" t="s">
        <v>519</v>
      </c>
      <c r="C2" s="190" t="s">
        <v>520</v>
      </c>
      <c r="D2" s="190" t="s">
        <v>530</v>
      </c>
      <c r="E2" s="191" t="s">
        <v>992</v>
      </c>
    </row>
    <row r="3" spans="1:5">
      <c r="A3" s="185">
        <v>1.1000000000000001</v>
      </c>
      <c r="B3" s="186" t="s">
        <v>527</v>
      </c>
      <c r="C3" s="187" t="s">
        <v>522</v>
      </c>
      <c r="D3" s="187" t="s">
        <v>524</v>
      </c>
      <c r="E3" s="188" t="s">
        <v>572</v>
      </c>
    </row>
    <row r="4" spans="1:5" ht="18.75" customHeight="1">
      <c r="A4" s="132">
        <v>1.2</v>
      </c>
      <c r="B4" s="129" t="s">
        <v>526</v>
      </c>
      <c r="C4" s="129" t="s">
        <v>523</v>
      </c>
      <c r="D4" s="129" t="s">
        <v>525</v>
      </c>
      <c r="E4" s="140" t="s">
        <v>572</v>
      </c>
    </row>
    <row r="5" spans="1:5" ht="19.5" customHeight="1">
      <c r="A5" s="132">
        <v>1.3</v>
      </c>
      <c r="B5" s="128" t="s">
        <v>521</v>
      </c>
      <c r="C5" s="129" t="s">
        <v>531</v>
      </c>
      <c r="D5" s="129" t="s">
        <v>525</v>
      </c>
      <c r="E5" s="140" t="s">
        <v>572</v>
      </c>
    </row>
    <row r="6" spans="1:5" ht="29">
      <c r="A6" s="132"/>
      <c r="B6" s="128"/>
      <c r="C6" s="129" t="s">
        <v>532</v>
      </c>
      <c r="D6" s="129"/>
      <c r="E6" s="131"/>
    </row>
    <row r="7" spans="1:5" ht="29">
      <c r="A7" s="132"/>
      <c r="B7" s="128"/>
      <c r="C7" s="129" t="s">
        <v>533</v>
      </c>
      <c r="D7" s="129"/>
      <c r="E7" s="131"/>
    </row>
    <row r="8" spans="1:5">
      <c r="A8" s="132"/>
      <c r="B8" s="128"/>
      <c r="C8" s="129" t="s">
        <v>534</v>
      </c>
      <c r="D8" s="129"/>
      <c r="E8" s="131"/>
    </row>
    <row r="9" spans="1:5">
      <c r="A9" s="132"/>
      <c r="B9" s="128"/>
      <c r="C9" s="129" t="s">
        <v>535</v>
      </c>
      <c r="D9" s="129"/>
      <c r="E9" s="131"/>
    </row>
    <row r="10" spans="1:5">
      <c r="A10" s="132"/>
      <c r="B10" s="128"/>
      <c r="C10" s="129" t="s">
        <v>536</v>
      </c>
      <c r="D10" s="129"/>
      <c r="E10" s="131"/>
    </row>
    <row r="11" spans="1:5">
      <c r="A11" s="132"/>
      <c r="B11" s="128"/>
      <c r="C11" s="129" t="s">
        <v>537</v>
      </c>
      <c r="D11" s="129"/>
      <c r="E11" s="131"/>
    </row>
    <row r="12" spans="1:5">
      <c r="A12" s="132"/>
      <c r="B12" s="128"/>
      <c r="C12" s="129" t="s">
        <v>538</v>
      </c>
      <c r="D12" s="129"/>
      <c r="E12" s="131"/>
    </row>
    <row r="13" spans="1:5">
      <c r="A13" s="132"/>
      <c r="B13" s="128"/>
      <c r="C13" s="129" t="s">
        <v>539</v>
      </c>
      <c r="D13" s="129"/>
      <c r="E13" s="131"/>
    </row>
    <row r="14" spans="1:5">
      <c r="A14" s="132"/>
      <c r="B14" s="128"/>
      <c r="C14" s="129" t="s">
        <v>540</v>
      </c>
      <c r="D14" s="129"/>
      <c r="E14" s="131"/>
    </row>
    <row r="15" spans="1:5">
      <c r="A15" s="132"/>
      <c r="B15" s="128"/>
      <c r="C15" s="129" t="s">
        <v>541</v>
      </c>
      <c r="D15" s="129"/>
      <c r="E15" s="131"/>
    </row>
    <row r="16" spans="1:5">
      <c r="A16" s="132"/>
      <c r="B16" s="128"/>
      <c r="C16" s="129" t="s">
        <v>542</v>
      </c>
      <c r="D16" s="129"/>
      <c r="E16" s="131"/>
    </row>
    <row r="17" spans="1:5">
      <c r="A17" s="132"/>
      <c r="B17" s="128"/>
      <c r="C17" s="129" t="s">
        <v>543</v>
      </c>
      <c r="D17" s="129"/>
      <c r="E17" s="131"/>
    </row>
    <row r="18" spans="1:5" ht="18" customHeight="1">
      <c r="A18" s="132">
        <v>1.4</v>
      </c>
      <c r="B18" s="129" t="s">
        <v>528</v>
      </c>
      <c r="C18" s="129" t="s">
        <v>546</v>
      </c>
      <c r="D18" s="129" t="s">
        <v>525</v>
      </c>
      <c r="E18" s="140" t="s">
        <v>572</v>
      </c>
    </row>
    <row r="19" spans="1:5">
      <c r="A19" s="132"/>
      <c r="B19" s="129"/>
      <c r="C19" s="129" t="s">
        <v>544</v>
      </c>
      <c r="D19" s="129"/>
      <c r="E19" s="131"/>
    </row>
    <row r="20" spans="1:5">
      <c r="A20" s="132"/>
      <c r="B20" s="129"/>
      <c r="C20" s="129" t="s">
        <v>545</v>
      </c>
      <c r="D20" s="129"/>
      <c r="E20" s="131"/>
    </row>
    <row r="21" spans="1:5" ht="18" customHeight="1">
      <c r="A21" s="132">
        <v>1.5</v>
      </c>
      <c r="B21" s="129" t="s">
        <v>573</v>
      </c>
      <c r="C21" s="129" t="s">
        <v>531</v>
      </c>
      <c r="D21" s="129" t="s">
        <v>525</v>
      </c>
      <c r="E21" s="140" t="s">
        <v>572</v>
      </c>
    </row>
    <row r="22" spans="1:5">
      <c r="A22" s="132"/>
      <c r="B22" s="129"/>
      <c r="C22" s="129" t="s">
        <v>562</v>
      </c>
      <c r="D22" s="129"/>
      <c r="E22" s="131"/>
    </row>
    <row r="23" spans="1:5">
      <c r="A23" s="132"/>
      <c r="B23" s="129"/>
      <c r="C23" s="129" t="s">
        <v>563</v>
      </c>
      <c r="D23" s="129"/>
      <c r="E23" s="131"/>
    </row>
    <row r="24" spans="1:5">
      <c r="A24" s="132"/>
      <c r="B24" s="129"/>
      <c r="C24" s="129" t="s">
        <v>564</v>
      </c>
      <c r="D24" s="129"/>
      <c r="E24" s="131"/>
    </row>
    <row r="25" spans="1:5">
      <c r="A25" s="132"/>
      <c r="B25" s="129"/>
      <c r="C25" s="129" t="s">
        <v>565</v>
      </c>
      <c r="D25" s="129"/>
      <c r="E25" s="131"/>
    </row>
    <row r="26" spans="1:5">
      <c r="A26" s="132"/>
      <c r="B26" s="129"/>
      <c r="C26" s="129" t="s">
        <v>566</v>
      </c>
      <c r="D26" s="129"/>
      <c r="E26" s="131"/>
    </row>
    <row r="27" spans="1:5">
      <c r="A27" s="132"/>
      <c r="B27" s="129"/>
      <c r="C27" s="129" t="s">
        <v>567</v>
      </c>
      <c r="D27" s="129"/>
      <c r="E27" s="131"/>
    </row>
    <row r="28" spans="1:5">
      <c r="A28" s="132"/>
      <c r="B28" s="129"/>
      <c r="C28" s="129" t="s">
        <v>568</v>
      </c>
      <c r="D28" s="129"/>
      <c r="E28" s="131"/>
    </row>
    <row r="29" spans="1:5">
      <c r="A29" s="132"/>
      <c r="B29" s="129"/>
      <c r="C29" s="129" t="s">
        <v>570</v>
      </c>
      <c r="D29" s="129"/>
      <c r="E29" s="131"/>
    </row>
    <row r="30" spans="1:5">
      <c r="A30" s="132"/>
      <c r="B30" s="129"/>
      <c r="C30" s="129" t="s">
        <v>571</v>
      </c>
      <c r="D30" s="129"/>
      <c r="E30" s="131"/>
    </row>
    <row r="31" spans="1:5" ht="29">
      <c r="A31" s="132"/>
      <c r="B31" s="129"/>
      <c r="C31" s="129" t="s">
        <v>569</v>
      </c>
      <c r="D31" s="129"/>
      <c r="E31" s="131"/>
    </row>
    <row r="32" spans="1:5">
      <c r="A32" s="132">
        <v>1.6</v>
      </c>
      <c r="B32" s="129" t="s">
        <v>576</v>
      </c>
      <c r="C32" s="129" t="s">
        <v>531</v>
      </c>
      <c r="D32" s="129" t="s">
        <v>525</v>
      </c>
      <c r="E32" s="140" t="s">
        <v>572</v>
      </c>
    </row>
    <row r="33" spans="1:5">
      <c r="A33" s="132"/>
      <c r="B33" s="129"/>
      <c r="C33" s="129" t="s">
        <v>577</v>
      </c>
      <c r="D33" s="129"/>
      <c r="E33" s="131"/>
    </row>
    <row r="34" spans="1:5">
      <c r="A34" s="132"/>
      <c r="B34" s="129"/>
      <c r="C34" s="129" t="s">
        <v>578</v>
      </c>
      <c r="D34" s="129"/>
      <c r="E34" s="131"/>
    </row>
    <row r="35" spans="1:5">
      <c r="A35" s="132">
        <v>1.7</v>
      </c>
      <c r="B35" s="128" t="s">
        <v>634</v>
      </c>
      <c r="C35" s="129" t="s">
        <v>531</v>
      </c>
      <c r="D35" s="129" t="s">
        <v>525</v>
      </c>
      <c r="E35" s="140" t="s">
        <v>572</v>
      </c>
    </row>
    <row r="36" spans="1:5">
      <c r="A36" s="132"/>
      <c r="B36" s="128"/>
      <c r="C36" s="129" t="s">
        <v>584</v>
      </c>
      <c r="D36" s="129"/>
      <c r="E36" s="131"/>
    </row>
    <row r="37" spans="1:5">
      <c r="A37" s="132"/>
      <c r="B37" s="128"/>
      <c r="C37" s="129" t="s">
        <v>585</v>
      </c>
      <c r="D37" s="129"/>
      <c r="E37" s="131"/>
    </row>
    <row r="38" spans="1:5">
      <c r="A38" s="132"/>
      <c r="B38" s="128"/>
      <c r="C38" s="129" t="s">
        <v>586</v>
      </c>
      <c r="D38" s="129"/>
      <c r="E38" s="131"/>
    </row>
    <row r="39" spans="1:5">
      <c r="A39" s="132"/>
      <c r="B39" s="128"/>
      <c r="C39" s="129" t="s">
        <v>587</v>
      </c>
      <c r="D39" s="129"/>
      <c r="E39" s="131"/>
    </row>
    <row r="40" spans="1:5">
      <c r="A40" s="132"/>
      <c r="B40" s="128"/>
      <c r="C40" s="129" t="s">
        <v>588</v>
      </c>
      <c r="D40" s="129"/>
      <c r="E40" s="131"/>
    </row>
    <row r="41" spans="1:5">
      <c r="A41" s="132"/>
      <c r="B41" s="128"/>
      <c r="C41" s="129" t="s">
        <v>589</v>
      </c>
      <c r="D41" s="129"/>
      <c r="E41" s="131"/>
    </row>
    <row r="42" spans="1:5">
      <c r="A42" s="132"/>
      <c r="B42" s="128"/>
      <c r="C42" s="129" t="s">
        <v>590</v>
      </c>
      <c r="D42" s="129"/>
      <c r="E42" s="131"/>
    </row>
    <row r="43" spans="1:5">
      <c r="A43" s="132"/>
      <c r="B43" s="128"/>
      <c r="C43" s="129" t="s">
        <v>591</v>
      </c>
      <c r="D43" s="129"/>
      <c r="E43" s="131"/>
    </row>
    <row r="44" spans="1:5">
      <c r="A44" s="132"/>
      <c r="B44" s="128"/>
      <c r="C44" s="129" t="s">
        <v>592</v>
      </c>
      <c r="D44" s="129"/>
      <c r="E44" s="131"/>
    </row>
    <row r="45" spans="1:5">
      <c r="A45" s="132"/>
      <c r="B45" s="128"/>
      <c r="C45" s="129" t="s">
        <v>593</v>
      </c>
      <c r="D45" s="129"/>
      <c r="E45" s="131"/>
    </row>
    <row r="46" spans="1:5">
      <c r="A46" s="132"/>
      <c r="B46" s="128"/>
      <c r="C46" s="129" t="s">
        <v>594</v>
      </c>
      <c r="D46" s="129"/>
      <c r="E46" s="131"/>
    </row>
    <row r="47" spans="1:5">
      <c r="A47" s="132"/>
      <c r="B47" s="128"/>
      <c r="C47" s="129" t="s">
        <v>595</v>
      </c>
      <c r="D47" s="129"/>
      <c r="E47" s="131"/>
    </row>
    <row r="48" spans="1:5">
      <c r="A48" s="132"/>
      <c r="B48" s="129"/>
      <c r="C48" s="129" t="s">
        <v>596</v>
      </c>
      <c r="D48" s="129"/>
      <c r="E48" s="131"/>
    </row>
    <row r="49" spans="1:5">
      <c r="A49" s="132"/>
      <c r="B49" s="129"/>
      <c r="C49" s="129" t="s">
        <v>597</v>
      </c>
      <c r="D49" s="129"/>
      <c r="E49" s="131"/>
    </row>
    <row r="50" spans="1:5">
      <c r="A50" s="132"/>
      <c r="B50" s="129"/>
      <c r="C50" s="129" t="s">
        <v>598</v>
      </c>
      <c r="D50" s="129"/>
      <c r="E50" s="131"/>
    </row>
    <row r="51" spans="1:5">
      <c r="A51" s="132"/>
      <c r="B51" s="129"/>
      <c r="C51" s="129" t="s">
        <v>599</v>
      </c>
      <c r="D51" s="129"/>
      <c r="E51" s="131"/>
    </row>
    <row r="52" spans="1:5">
      <c r="A52" s="132"/>
      <c r="B52" s="129"/>
      <c r="C52" s="129" t="s">
        <v>600</v>
      </c>
      <c r="D52" s="129"/>
      <c r="E52" s="131"/>
    </row>
    <row r="53" spans="1:5">
      <c r="A53" s="132"/>
      <c r="B53" s="129"/>
      <c r="C53" s="129" t="s">
        <v>601</v>
      </c>
      <c r="D53" s="129"/>
      <c r="E53" s="131"/>
    </row>
    <row r="54" spans="1:5">
      <c r="A54" s="132"/>
      <c r="B54" s="129"/>
      <c r="C54" s="129" t="s">
        <v>602</v>
      </c>
      <c r="D54" s="129"/>
      <c r="E54" s="131"/>
    </row>
    <row r="55" spans="1:5">
      <c r="A55" s="132"/>
      <c r="B55" s="129"/>
      <c r="C55" s="129" t="s">
        <v>604</v>
      </c>
      <c r="D55" s="129"/>
      <c r="E55" s="131"/>
    </row>
    <row r="56" spans="1:5">
      <c r="A56" s="132"/>
      <c r="B56" s="129"/>
      <c r="C56" s="129" t="s">
        <v>603</v>
      </c>
      <c r="D56" s="129"/>
      <c r="E56" s="131"/>
    </row>
    <row r="57" spans="1:5" ht="29">
      <c r="A57" s="132"/>
      <c r="B57" s="129"/>
      <c r="C57" s="129" t="s">
        <v>605</v>
      </c>
      <c r="D57" s="129"/>
      <c r="E57" s="131"/>
    </row>
    <row r="58" spans="1:5">
      <c r="A58" s="132"/>
      <c r="B58" s="129"/>
      <c r="C58" s="129" t="s">
        <v>606</v>
      </c>
      <c r="D58" s="129"/>
      <c r="E58" s="131"/>
    </row>
    <row r="59" spans="1:5">
      <c r="A59" s="132"/>
      <c r="B59" s="129"/>
      <c r="C59" s="129" t="s">
        <v>607</v>
      </c>
      <c r="D59" s="129"/>
      <c r="E59" s="131"/>
    </row>
    <row r="60" spans="1:5">
      <c r="A60" s="132"/>
      <c r="B60" s="129"/>
      <c r="C60" s="129" t="s">
        <v>608</v>
      </c>
      <c r="D60" s="129"/>
      <c r="E60" s="131"/>
    </row>
    <row r="61" spans="1:5">
      <c r="A61" s="132"/>
      <c r="B61" s="129"/>
      <c r="C61" s="129" t="s">
        <v>609</v>
      </c>
      <c r="D61" s="129"/>
      <c r="E61" s="131"/>
    </row>
    <row r="62" spans="1:5">
      <c r="A62" s="132"/>
      <c r="B62" s="129"/>
      <c r="C62" s="129" t="s">
        <v>610</v>
      </c>
      <c r="D62" s="129"/>
      <c r="E62" s="131"/>
    </row>
    <row r="63" spans="1:5">
      <c r="A63" s="132"/>
      <c r="B63" s="129"/>
      <c r="C63" s="129" t="s">
        <v>611</v>
      </c>
      <c r="D63" s="129"/>
      <c r="E63" s="131"/>
    </row>
    <row r="64" spans="1:5">
      <c r="A64" s="132"/>
      <c r="B64" s="129"/>
      <c r="C64" s="172" t="s">
        <v>612</v>
      </c>
      <c r="D64" s="129"/>
      <c r="E64" s="131"/>
    </row>
    <row r="65" spans="1:5" ht="29">
      <c r="A65" s="132"/>
      <c r="B65" s="129"/>
      <c r="C65" s="129" t="s">
        <v>613</v>
      </c>
      <c r="D65" s="129"/>
      <c r="E65" s="131"/>
    </row>
    <row r="66" spans="1:5" ht="29">
      <c r="A66" s="132"/>
      <c r="B66" s="129"/>
      <c r="C66" s="129" t="s">
        <v>614</v>
      </c>
      <c r="D66" s="129"/>
      <c r="E66" s="131"/>
    </row>
    <row r="67" spans="1:5">
      <c r="A67" s="132"/>
      <c r="B67" s="129"/>
      <c r="C67" s="129" t="s">
        <v>635</v>
      </c>
      <c r="D67" s="129"/>
      <c r="E67" s="131"/>
    </row>
    <row r="68" spans="1:5" ht="18" customHeight="1">
      <c r="A68" s="132">
        <v>1.8</v>
      </c>
      <c r="B68" s="128" t="s">
        <v>637</v>
      </c>
      <c r="C68" s="129" t="s">
        <v>531</v>
      </c>
      <c r="D68" s="129" t="s">
        <v>525</v>
      </c>
      <c r="E68" s="140" t="s">
        <v>572</v>
      </c>
    </row>
    <row r="69" spans="1:5">
      <c r="A69" s="132"/>
      <c r="B69" s="129"/>
      <c r="C69" s="129" t="s">
        <v>636</v>
      </c>
      <c r="D69" s="129"/>
      <c r="E69" s="131"/>
    </row>
    <row r="70" spans="1:5">
      <c r="A70" s="132">
        <v>1.9</v>
      </c>
      <c r="B70" s="128" t="s">
        <v>650</v>
      </c>
      <c r="C70" s="129" t="s">
        <v>531</v>
      </c>
      <c r="D70" s="129" t="s">
        <v>525</v>
      </c>
      <c r="E70" s="140" t="s">
        <v>572</v>
      </c>
    </row>
    <row r="71" spans="1:5" ht="29">
      <c r="A71" s="132"/>
      <c r="B71" s="129"/>
      <c r="C71" s="129" t="s">
        <v>638</v>
      </c>
      <c r="D71" s="129"/>
      <c r="E71" s="131"/>
    </row>
    <row r="72" spans="1:5">
      <c r="A72" s="132"/>
      <c r="B72" s="129"/>
      <c r="C72" s="129" t="s">
        <v>645</v>
      </c>
      <c r="D72" s="129"/>
      <c r="E72" s="131"/>
    </row>
    <row r="73" spans="1:5">
      <c r="A73" s="132"/>
      <c r="B73" s="129"/>
      <c r="C73" s="129" t="s">
        <v>639</v>
      </c>
      <c r="D73" s="129"/>
      <c r="E73" s="131"/>
    </row>
    <row r="74" spans="1:5">
      <c r="A74" s="132"/>
      <c r="B74" s="129"/>
      <c r="C74" s="129" t="s">
        <v>640</v>
      </c>
      <c r="D74" s="129"/>
      <c r="E74" s="131"/>
    </row>
    <row r="75" spans="1:5">
      <c r="A75" s="132"/>
      <c r="B75" s="129"/>
      <c r="C75" s="129" t="s">
        <v>641</v>
      </c>
      <c r="D75" s="129"/>
      <c r="E75" s="131"/>
    </row>
    <row r="76" spans="1:5">
      <c r="A76" s="132"/>
      <c r="B76" s="129"/>
      <c r="C76" s="129" t="s">
        <v>642</v>
      </c>
      <c r="D76" s="129"/>
      <c r="E76" s="131"/>
    </row>
    <row r="77" spans="1:5">
      <c r="A77" s="132"/>
      <c r="B77" s="129"/>
      <c r="C77" s="129" t="s">
        <v>643</v>
      </c>
      <c r="D77" s="129"/>
      <c r="E77" s="131"/>
    </row>
    <row r="78" spans="1:5">
      <c r="A78" s="132"/>
      <c r="B78" s="129"/>
      <c r="C78" s="129" t="s">
        <v>644</v>
      </c>
      <c r="D78" s="129"/>
      <c r="E78" s="131"/>
    </row>
    <row r="79" spans="1:5">
      <c r="A79" s="132"/>
      <c r="B79" s="129"/>
      <c r="C79" s="129" t="s">
        <v>646</v>
      </c>
      <c r="D79" s="129"/>
      <c r="E79" s="131"/>
    </row>
    <row r="80" spans="1:5">
      <c r="A80" s="132"/>
      <c r="B80" s="129"/>
      <c r="C80" s="129" t="s">
        <v>647</v>
      </c>
      <c r="D80" s="129"/>
      <c r="E80" s="131"/>
    </row>
    <row r="81" spans="1:5">
      <c r="A81" s="132"/>
      <c r="B81" s="129"/>
      <c r="C81" s="129" t="s">
        <v>651</v>
      </c>
      <c r="D81" s="129"/>
      <c r="E81" s="131"/>
    </row>
    <row r="82" spans="1:5">
      <c r="A82" s="132"/>
      <c r="B82" s="129"/>
      <c r="C82" s="129" t="s">
        <v>652</v>
      </c>
      <c r="D82" s="129"/>
      <c r="E82" s="131"/>
    </row>
    <row r="83" spans="1:5">
      <c r="A83" s="132"/>
      <c r="B83" s="129"/>
      <c r="C83" s="129" t="s">
        <v>653</v>
      </c>
      <c r="D83" s="129"/>
      <c r="E83" s="131"/>
    </row>
    <row r="84" spans="1:5">
      <c r="A84" s="132"/>
      <c r="B84" s="129"/>
      <c r="C84" s="129" t="s">
        <v>654</v>
      </c>
      <c r="D84" s="129"/>
      <c r="E84" s="131"/>
    </row>
    <row r="85" spans="1:5">
      <c r="A85" s="132"/>
      <c r="B85" s="129"/>
      <c r="C85" s="129" t="s">
        <v>655</v>
      </c>
      <c r="D85" s="129"/>
      <c r="E85" s="131"/>
    </row>
    <row r="86" spans="1:5">
      <c r="A86" s="132">
        <v>1.1000000000000001</v>
      </c>
      <c r="B86" s="128" t="s">
        <v>656</v>
      </c>
      <c r="C86" s="129" t="s">
        <v>531</v>
      </c>
      <c r="D86" s="129" t="s">
        <v>525</v>
      </c>
      <c r="E86" s="140" t="s">
        <v>572</v>
      </c>
    </row>
    <row r="87" spans="1:5">
      <c r="A87" s="132"/>
      <c r="B87" s="129"/>
      <c r="C87" s="129" t="s">
        <v>636</v>
      </c>
      <c r="D87" s="129"/>
      <c r="E87" s="131"/>
    </row>
    <row r="88" spans="1:5">
      <c r="A88" s="132">
        <v>1.1100000000000001</v>
      </c>
      <c r="B88" s="128" t="s">
        <v>658</v>
      </c>
      <c r="C88" s="129" t="s">
        <v>531</v>
      </c>
      <c r="D88" s="129" t="s">
        <v>525</v>
      </c>
      <c r="E88" s="140" t="s">
        <v>572</v>
      </c>
    </row>
    <row r="89" spans="1:5">
      <c r="A89" s="132"/>
      <c r="B89" s="129"/>
      <c r="C89" s="129" t="s">
        <v>659</v>
      </c>
      <c r="D89" s="129"/>
      <c r="E89" s="131"/>
    </row>
    <row r="90" spans="1:5">
      <c r="A90" s="132"/>
      <c r="B90" s="129"/>
      <c r="C90" s="129" t="s">
        <v>660</v>
      </c>
      <c r="D90" s="129"/>
      <c r="E90" s="131"/>
    </row>
    <row r="91" spans="1:5">
      <c r="A91" s="132"/>
      <c r="B91" s="129"/>
      <c r="C91" s="129" t="s">
        <v>661</v>
      </c>
      <c r="D91" s="129"/>
      <c r="E91" s="131"/>
    </row>
    <row r="92" spans="1:5">
      <c r="A92" s="132"/>
      <c r="B92" s="129"/>
      <c r="C92" s="129" t="s">
        <v>662</v>
      </c>
      <c r="D92" s="129"/>
      <c r="E92" s="131"/>
    </row>
    <row r="93" spans="1:5">
      <c r="A93" s="132"/>
      <c r="B93" s="129"/>
      <c r="C93" s="129" t="s">
        <v>663</v>
      </c>
      <c r="D93" s="129"/>
      <c r="E93" s="131"/>
    </row>
    <row r="94" spans="1:5">
      <c r="A94" s="132"/>
      <c r="B94" s="129"/>
      <c r="C94" s="129" t="s">
        <v>664</v>
      </c>
      <c r="D94" s="129"/>
      <c r="E94" s="131"/>
    </row>
    <row r="95" spans="1:5">
      <c r="A95" s="132"/>
      <c r="B95" s="129"/>
      <c r="C95" s="129" t="s">
        <v>665</v>
      </c>
      <c r="D95" s="129"/>
      <c r="E95" s="131"/>
    </row>
    <row r="96" spans="1:5">
      <c r="A96" s="132"/>
      <c r="B96" s="129"/>
      <c r="C96" s="129" t="s">
        <v>666</v>
      </c>
      <c r="D96" s="129"/>
      <c r="E96" s="131"/>
    </row>
    <row r="97" spans="1:5">
      <c r="A97" s="132"/>
      <c r="B97" s="129"/>
      <c r="C97" s="129" t="s">
        <v>592</v>
      </c>
      <c r="D97" s="129"/>
      <c r="E97" s="131"/>
    </row>
    <row r="98" spans="1:5">
      <c r="A98" s="132"/>
      <c r="B98" s="129"/>
      <c r="C98" s="129" t="s">
        <v>667</v>
      </c>
      <c r="D98" s="129"/>
      <c r="E98" s="131"/>
    </row>
    <row r="99" spans="1:5">
      <c r="A99" s="132"/>
      <c r="B99" s="129"/>
      <c r="C99" s="129" t="s">
        <v>668</v>
      </c>
      <c r="D99" s="129"/>
      <c r="E99" s="131"/>
    </row>
    <row r="100" spans="1:5">
      <c r="A100" s="132"/>
      <c r="B100" s="129"/>
      <c r="C100" s="129" t="s">
        <v>669</v>
      </c>
      <c r="D100" s="129"/>
      <c r="E100" s="131"/>
    </row>
    <row r="101" spans="1:5">
      <c r="A101" s="132"/>
      <c r="B101" s="129"/>
      <c r="C101" s="129" t="s">
        <v>670</v>
      </c>
      <c r="D101" s="129"/>
      <c r="E101" s="131"/>
    </row>
    <row r="102" spans="1:5">
      <c r="A102" s="132">
        <v>1.1200000000000001</v>
      </c>
      <c r="B102" s="128" t="s">
        <v>671</v>
      </c>
      <c r="C102" s="129" t="s">
        <v>531</v>
      </c>
      <c r="D102" s="129" t="s">
        <v>525</v>
      </c>
      <c r="E102" s="140" t="s">
        <v>572</v>
      </c>
    </row>
    <row r="103" spans="1:5">
      <c r="A103" s="132"/>
      <c r="B103" s="129"/>
      <c r="C103" s="129" t="s">
        <v>672</v>
      </c>
      <c r="D103" s="129"/>
      <c r="E103" s="131"/>
    </row>
    <row r="104" spans="1:5">
      <c r="A104" s="132"/>
      <c r="B104" s="129"/>
      <c r="C104" s="129" t="s">
        <v>673</v>
      </c>
      <c r="D104" s="129"/>
      <c r="E104" s="131"/>
    </row>
    <row r="105" spans="1:5">
      <c r="A105" s="132">
        <v>1.1299999999999999</v>
      </c>
      <c r="B105" s="129" t="s">
        <v>674</v>
      </c>
      <c r="C105" s="129" t="s">
        <v>677</v>
      </c>
      <c r="D105" s="129" t="s">
        <v>525</v>
      </c>
      <c r="E105" s="140" t="s">
        <v>572</v>
      </c>
    </row>
    <row r="106" spans="1:5">
      <c r="A106" s="132"/>
      <c r="B106" s="129"/>
      <c r="C106" s="129" t="s">
        <v>636</v>
      </c>
      <c r="D106" s="129"/>
      <c r="E106" s="131"/>
    </row>
    <row r="107" spans="1:5">
      <c r="A107" s="132"/>
      <c r="B107" s="129"/>
      <c r="C107" s="129" t="s">
        <v>675</v>
      </c>
      <c r="D107" s="129"/>
      <c r="E107" s="131"/>
    </row>
    <row r="108" spans="1:5">
      <c r="A108" s="132"/>
      <c r="B108" s="129"/>
      <c r="C108" s="129" t="s">
        <v>676</v>
      </c>
      <c r="D108" s="129"/>
      <c r="E108" s="131"/>
    </row>
    <row r="109" spans="1:5">
      <c r="A109" s="132">
        <v>1.1399999999999999</v>
      </c>
      <c r="B109" s="129" t="s">
        <v>678</v>
      </c>
      <c r="C109" s="129" t="s">
        <v>531</v>
      </c>
      <c r="D109" s="129" t="s">
        <v>525</v>
      </c>
      <c r="E109" s="250" t="s">
        <v>944</v>
      </c>
    </row>
    <row r="110" spans="1:5">
      <c r="A110" s="132"/>
      <c r="B110" s="129"/>
      <c r="C110" s="129" t="s">
        <v>679</v>
      </c>
      <c r="D110" s="129"/>
      <c r="E110" s="131"/>
    </row>
    <row r="111" spans="1:5">
      <c r="A111" s="132"/>
      <c r="B111" s="129"/>
      <c r="C111" s="129" t="s">
        <v>680</v>
      </c>
      <c r="D111" s="129"/>
      <c r="E111" s="131"/>
    </row>
    <row r="112" spans="1:5">
      <c r="A112" s="132">
        <v>1.1499999999999999</v>
      </c>
      <c r="B112" s="129" t="s">
        <v>683</v>
      </c>
      <c r="C112" s="129" t="s">
        <v>531</v>
      </c>
      <c r="D112" s="129" t="s">
        <v>525</v>
      </c>
      <c r="E112" s="250" t="s">
        <v>944</v>
      </c>
    </row>
    <row r="113" spans="1:5">
      <c r="A113" s="132"/>
      <c r="B113" s="129"/>
      <c r="C113" s="129" t="s">
        <v>684</v>
      </c>
      <c r="D113" s="129"/>
      <c r="E113" s="131"/>
    </row>
    <row r="114" spans="1:5">
      <c r="A114" s="132"/>
      <c r="B114" s="129"/>
      <c r="C114" s="129" t="s">
        <v>685</v>
      </c>
      <c r="D114" s="129"/>
      <c r="E114" s="131"/>
    </row>
    <row r="115" spans="1:5">
      <c r="A115" s="132">
        <v>1.1599999999999999</v>
      </c>
      <c r="B115" s="129" t="s">
        <v>690</v>
      </c>
      <c r="C115" s="129" t="s">
        <v>687</v>
      </c>
      <c r="D115" s="129" t="s">
        <v>525</v>
      </c>
      <c r="E115" s="250" t="s">
        <v>944</v>
      </c>
    </row>
    <row r="116" spans="1:5">
      <c r="A116" s="132"/>
      <c r="B116" s="129"/>
      <c r="C116" s="129" t="s">
        <v>688</v>
      </c>
      <c r="D116" s="129"/>
      <c r="E116" s="131"/>
    </row>
    <row r="117" spans="1:5">
      <c r="A117" s="132"/>
      <c r="B117" s="129"/>
      <c r="C117" s="129" t="s">
        <v>585</v>
      </c>
      <c r="D117" s="129"/>
      <c r="E117" s="131"/>
    </row>
    <row r="118" spans="1:5">
      <c r="A118" s="132"/>
      <c r="B118" s="129"/>
      <c r="C118" s="129" t="s">
        <v>689</v>
      </c>
      <c r="D118" s="129"/>
      <c r="E118" s="131"/>
    </row>
    <row r="119" spans="1:5">
      <c r="A119" s="132"/>
      <c r="B119" s="129"/>
      <c r="C119" s="129" t="s">
        <v>691</v>
      </c>
      <c r="D119" s="129"/>
      <c r="E119" s="131"/>
    </row>
    <row r="120" spans="1:5">
      <c r="A120" s="132"/>
      <c r="B120" s="129"/>
      <c r="C120" s="129" t="s">
        <v>705</v>
      </c>
      <c r="D120" s="129"/>
      <c r="E120" s="131"/>
    </row>
    <row r="121" spans="1:5">
      <c r="A121" s="132"/>
      <c r="B121" s="129"/>
      <c r="C121" s="129" t="s">
        <v>706</v>
      </c>
      <c r="D121" s="129"/>
      <c r="E121" s="131"/>
    </row>
    <row r="122" spans="1:5">
      <c r="A122" s="132"/>
      <c r="B122" s="129"/>
      <c r="C122" s="129" t="s">
        <v>707</v>
      </c>
      <c r="D122" s="129"/>
      <c r="E122" s="131"/>
    </row>
    <row r="123" spans="1:5">
      <c r="A123" s="132"/>
      <c r="B123" s="129"/>
      <c r="C123" s="129" t="s">
        <v>708</v>
      </c>
      <c r="D123" s="129"/>
      <c r="E123" s="131"/>
    </row>
    <row r="124" spans="1:5">
      <c r="A124" s="132"/>
      <c r="B124" s="129"/>
      <c r="C124" s="129" t="s">
        <v>709</v>
      </c>
      <c r="D124" s="129"/>
      <c r="E124" s="131"/>
    </row>
    <row r="125" spans="1:5">
      <c r="A125" s="132"/>
      <c r="B125" s="129"/>
      <c r="C125" s="129" t="s">
        <v>710</v>
      </c>
      <c r="D125" s="129"/>
      <c r="E125" s="131"/>
    </row>
    <row r="126" spans="1:5">
      <c r="A126" s="132">
        <v>1.17</v>
      </c>
      <c r="B126" s="129" t="s">
        <v>712</v>
      </c>
      <c r="C126" s="129" t="s">
        <v>687</v>
      </c>
      <c r="D126" s="129" t="s">
        <v>525</v>
      </c>
      <c r="E126" s="250" t="s">
        <v>944</v>
      </c>
    </row>
    <row r="127" spans="1:5">
      <c r="A127" s="132"/>
      <c r="B127" s="129"/>
      <c r="C127" s="129" t="s">
        <v>713</v>
      </c>
      <c r="D127" s="129"/>
      <c r="E127" s="131"/>
    </row>
    <row r="128" spans="1:5">
      <c r="A128" s="132"/>
      <c r="B128" s="129"/>
      <c r="C128" s="129" t="s">
        <v>714</v>
      </c>
      <c r="D128" s="129"/>
      <c r="E128" s="131"/>
    </row>
    <row r="129" spans="1:5">
      <c r="A129" s="132"/>
      <c r="B129" s="129"/>
      <c r="C129" s="129" t="s">
        <v>728</v>
      </c>
      <c r="D129" s="129"/>
      <c r="E129" s="131"/>
    </row>
    <row r="130" spans="1:5">
      <c r="A130" s="132">
        <v>1.18</v>
      </c>
      <c r="B130" s="129" t="s">
        <v>734</v>
      </c>
      <c r="C130" s="129" t="s">
        <v>531</v>
      </c>
      <c r="D130" s="129" t="s">
        <v>525</v>
      </c>
      <c r="E130" s="250" t="s">
        <v>944</v>
      </c>
    </row>
    <row r="131" spans="1:5">
      <c r="A131" s="132"/>
      <c r="B131" s="129"/>
      <c r="C131" s="129" t="s">
        <v>729</v>
      </c>
      <c r="D131" s="129"/>
      <c r="E131" s="131"/>
    </row>
    <row r="132" spans="1:5">
      <c r="A132" s="132"/>
      <c r="B132" s="129"/>
      <c r="C132" s="129" t="s">
        <v>730</v>
      </c>
      <c r="D132" s="129"/>
      <c r="E132" s="131"/>
    </row>
    <row r="133" spans="1:5">
      <c r="A133" s="132"/>
      <c r="B133" s="129"/>
      <c r="C133" s="129" t="s">
        <v>732</v>
      </c>
      <c r="D133" s="129"/>
      <c r="E133" s="131"/>
    </row>
    <row r="134" spans="1:5">
      <c r="A134" s="132"/>
      <c r="B134" s="129"/>
      <c r="C134" s="129" t="s">
        <v>733</v>
      </c>
      <c r="D134" s="129"/>
      <c r="E134" s="131"/>
    </row>
    <row r="135" spans="1:5">
      <c r="A135" s="132"/>
      <c r="B135" s="129"/>
      <c r="C135" s="129" t="s">
        <v>687</v>
      </c>
      <c r="D135" s="129"/>
      <c r="E135" s="131"/>
    </row>
    <row r="136" spans="1:5">
      <c r="A136" s="132"/>
      <c r="B136" s="129"/>
      <c r="C136" s="129" t="s">
        <v>731</v>
      </c>
      <c r="D136" s="129"/>
      <c r="E136" s="131"/>
    </row>
    <row r="137" spans="1:5">
      <c r="A137" s="132"/>
      <c r="B137" s="129"/>
      <c r="C137" s="129" t="s">
        <v>585</v>
      </c>
      <c r="D137" s="129"/>
      <c r="E137" s="131"/>
    </row>
    <row r="138" spans="1:5">
      <c r="A138" s="132"/>
      <c r="B138" s="129"/>
      <c r="C138" s="129" t="s">
        <v>689</v>
      </c>
      <c r="D138" s="129"/>
      <c r="E138" s="131"/>
    </row>
    <row r="139" spans="1:5">
      <c r="A139" s="132"/>
      <c r="B139" s="129"/>
      <c r="C139" s="129" t="s">
        <v>714</v>
      </c>
      <c r="D139" s="129"/>
      <c r="E139" s="131"/>
    </row>
    <row r="140" spans="1:5">
      <c r="A140" s="132"/>
      <c r="B140" s="129"/>
      <c r="C140" s="129" t="s">
        <v>728</v>
      </c>
      <c r="D140" s="129"/>
      <c r="E140" s="131"/>
    </row>
    <row r="141" spans="1:5" ht="29">
      <c r="A141" s="251">
        <v>2</v>
      </c>
      <c r="B141" s="129" t="s">
        <v>962</v>
      </c>
      <c r="C141" s="129" t="s">
        <v>886</v>
      </c>
      <c r="D141" s="129" t="s">
        <v>525</v>
      </c>
      <c r="E141" s="250" t="s">
        <v>944</v>
      </c>
    </row>
    <row r="142" spans="1:5">
      <c r="A142" s="132"/>
      <c r="B142" s="129"/>
      <c r="C142" s="129" t="s">
        <v>531</v>
      </c>
      <c r="D142" s="129"/>
      <c r="E142" s="131"/>
    </row>
    <row r="143" spans="1:5" ht="29">
      <c r="A143" s="132"/>
      <c r="B143" s="129"/>
      <c r="C143" s="129" t="s">
        <v>743</v>
      </c>
      <c r="D143" s="129"/>
      <c r="E143" s="131"/>
    </row>
    <row r="144" spans="1:5" ht="29">
      <c r="A144" s="132"/>
      <c r="B144" s="129"/>
      <c r="C144" s="129" t="s">
        <v>746</v>
      </c>
      <c r="D144" s="129"/>
      <c r="E144" s="131"/>
    </row>
    <row r="145" spans="1:5">
      <c r="A145" s="132"/>
      <c r="B145" s="129"/>
      <c r="C145" s="129" t="s">
        <v>788</v>
      </c>
      <c r="D145" s="129"/>
      <c r="E145" s="131"/>
    </row>
    <row r="146" spans="1:5" ht="29">
      <c r="A146" s="132"/>
      <c r="B146" s="129"/>
      <c r="C146" s="129" t="s">
        <v>745</v>
      </c>
      <c r="D146" s="129"/>
      <c r="E146" s="131"/>
    </row>
    <row r="147" spans="1:5" ht="43.5">
      <c r="A147" s="132"/>
      <c r="B147" s="129"/>
      <c r="C147" s="129" t="s">
        <v>793</v>
      </c>
      <c r="D147" s="129"/>
      <c r="E147" s="131"/>
    </row>
    <row r="148" spans="1:5" ht="29">
      <c r="A148" s="132"/>
      <c r="B148" s="129"/>
      <c r="C148" s="129" t="s">
        <v>826</v>
      </c>
      <c r="D148" s="129"/>
      <c r="E148" s="131"/>
    </row>
    <row r="149" spans="1:5" ht="29">
      <c r="A149" s="132"/>
      <c r="B149" s="129"/>
      <c r="C149" s="129" t="s">
        <v>757</v>
      </c>
      <c r="D149" s="129"/>
      <c r="E149" s="131"/>
    </row>
    <row r="150" spans="1:5">
      <c r="A150" s="132"/>
      <c r="B150" s="129"/>
      <c r="C150" s="129" t="s">
        <v>758</v>
      </c>
      <c r="D150" s="129"/>
      <c r="E150" s="131"/>
    </row>
    <row r="151" spans="1:5" ht="29">
      <c r="A151" s="132"/>
      <c r="B151" s="129"/>
      <c r="C151" s="129" t="s">
        <v>804</v>
      </c>
      <c r="D151" s="129"/>
      <c r="E151" s="131"/>
    </row>
    <row r="152" spans="1:5">
      <c r="A152" s="132"/>
      <c r="B152" s="129"/>
      <c r="C152" s="129" t="s">
        <v>379</v>
      </c>
      <c r="D152" s="129"/>
      <c r="E152" s="131"/>
    </row>
    <row r="153" spans="1:5">
      <c r="A153" s="132"/>
      <c r="B153" s="129"/>
      <c r="C153" s="129" t="s">
        <v>306</v>
      </c>
      <c r="D153" s="129"/>
      <c r="E153" s="131"/>
    </row>
    <row r="154" spans="1:5">
      <c r="A154" s="132"/>
      <c r="B154" s="129"/>
      <c r="C154" s="129" t="s">
        <v>554</v>
      </c>
      <c r="D154" s="129"/>
      <c r="E154" s="131"/>
    </row>
    <row r="155" spans="1:5">
      <c r="A155" s="132"/>
      <c r="B155" s="129"/>
      <c r="C155" s="129" t="s">
        <v>828</v>
      </c>
      <c r="D155" s="129"/>
      <c r="E155" s="131"/>
    </row>
    <row r="156" spans="1:5" ht="72.5">
      <c r="A156" s="132"/>
      <c r="B156" s="129"/>
      <c r="C156" s="129" t="s">
        <v>808</v>
      </c>
      <c r="D156" s="129"/>
      <c r="E156" s="131"/>
    </row>
    <row r="157" spans="1:5">
      <c r="A157" s="132"/>
      <c r="B157" s="129"/>
      <c r="C157" s="129" t="s">
        <v>809</v>
      </c>
      <c r="D157" s="129"/>
      <c r="E157" s="131"/>
    </row>
    <row r="158" spans="1:5">
      <c r="A158" s="132"/>
      <c r="B158" s="129"/>
      <c r="C158" s="129" t="s">
        <v>817</v>
      </c>
      <c r="D158" s="129"/>
      <c r="E158" s="131"/>
    </row>
    <row r="159" spans="1:5">
      <c r="A159" s="132"/>
      <c r="B159" s="129"/>
      <c r="C159" s="129" t="s">
        <v>682</v>
      </c>
      <c r="D159" s="129"/>
      <c r="E159" s="131"/>
    </row>
    <row r="160" spans="1:5">
      <c r="A160" s="132"/>
      <c r="B160" s="129"/>
      <c r="C160" s="129" t="s">
        <v>558</v>
      </c>
      <c r="D160" s="129"/>
      <c r="E160" s="131"/>
    </row>
    <row r="161" spans="1:5">
      <c r="A161" s="132"/>
      <c r="B161" s="129"/>
      <c r="C161" s="129" t="s">
        <v>251</v>
      </c>
      <c r="D161" s="129"/>
      <c r="E161" s="131"/>
    </row>
    <row r="162" spans="1:5" ht="29">
      <c r="A162" s="132"/>
      <c r="B162" s="129"/>
      <c r="C162" s="129" t="s">
        <v>843</v>
      </c>
      <c r="D162" s="129"/>
      <c r="E162" s="131"/>
    </row>
    <row r="163" spans="1:5">
      <c r="A163" s="132"/>
      <c r="B163" s="129"/>
      <c r="C163" s="129" t="s">
        <v>865</v>
      </c>
      <c r="D163" s="129"/>
      <c r="E163" s="131"/>
    </row>
    <row r="164" spans="1:5">
      <c r="A164" s="132"/>
      <c r="B164" s="129"/>
      <c r="C164" s="129" t="s">
        <v>957</v>
      </c>
      <c r="D164" s="129"/>
      <c r="E164" s="131"/>
    </row>
    <row r="165" spans="1:5" ht="18.5" customHeight="1">
      <c r="A165" s="132"/>
      <c r="B165" s="129"/>
      <c r="C165" s="129" t="s">
        <v>887</v>
      </c>
      <c r="D165" s="129"/>
      <c r="E165" s="131"/>
    </row>
    <row r="166" spans="1:5" ht="29">
      <c r="A166" s="132"/>
      <c r="B166" s="129"/>
      <c r="C166" s="129" t="s">
        <v>889</v>
      </c>
      <c r="D166" s="129"/>
      <c r="E166" s="131"/>
    </row>
    <row r="167" spans="1:5">
      <c r="A167" s="132"/>
      <c r="B167" s="129"/>
      <c r="C167" s="129" t="s">
        <v>893</v>
      </c>
      <c r="D167" s="129"/>
      <c r="E167" s="131"/>
    </row>
    <row r="168" spans="1:5">
      <c r="A168" s="132"/>
      <c r="B168" s="129"/>
      <c r="C168" s="129" t="s">
        <v>949</v>
      </c>
      <c r="D168" s="129"/>
      <c r="E168" s="131"/>
    </row>
    <row r="169" spans="1:5">
      <c r="A169" s="269"/>
      <c r="B169" s="270"/>
      <c r="C169" s="270" t="s">
        <v>897</v>
      </c>
      <c r="D169" s="270"/>
      <c r="E169" s="271"/>
    </row>
    <row r="170" spans="1:5">
      <c r="A170" s="251">
        <v>2.1</v>
      </c>
      <c r="B170" s="129" t="s">
        <v>972</v>
      </c>
      <c r="C170" s="129" t="s">
        <v>531</v>
      </c>
      <c r="D170" s="129" t="s">
        <v>525</v>
      </c>
      <c r="E170" s="250" t="s">
        <v>944</v>
      </c>
    </row>
    <row r="171" spans="1:5">
      <c r="A171" s="132"/>
      <c r="B171" s="129"/>
      <c r="C171" s="129" t="s">
        <v>959</v>
      </c>
      <c r="D171" s="129"/>
      <c r="E171" s="131"/>
    </row>
    <row r="172" spans="1:5">
      <c r="A172" s="132"/>
      <c r="B172" s="129"/>
      <c r="C172" s="129" t="s">
        <v>682</v>
      </c>
      <c r="D172" s="129"/>
      <c r="E172" s="131"/>
    </row>
    <row r="173" spans="1:5">
      <c r="A173" s="269">
        <v>2.2000000000000002</v>
      </c>
      <c r="B173" s="270" t="s">
        <v>991</v>
      </c>
      <c r="C173" s="270" t="s">
        <v>531</v>
      </c>
      <c r="D173" s="129" t="s">
        <v>525</v>
      </c>
      <c r="E173" s="250" t="s">
        <v>944</v>
      </c>
    </row>
    <row r="174" spans="1:5">
      <c r="A174" s="269"/>
      <c r="B174" s="270"/>
      <c r="C174" s="270" t="s">
        <v>993</v>
      </c>
      <c r="D174" s="270"/>
      <c r="E174" s="271"/>
    </row>
    <row r="175" spans="1:5">
      <c r="A175" s="269"/>
      <c r="B175" s="270"/>
      <c r="C175" s="270" t="s">
        <v>788</v>
      </c>
      <c r="D175" s="270"/>
      <c r="E175" s="271"/>
    </row>
    <row r="176" spans="1:5">
      <c r="A176" s="269"/>
      <c r="B176" s="270"/>
      <c r="C176" s="270" t="s">
        <v>994</v>
      </c>
      <c r="D176" s="270"/>
      <c r="E176" s="271"/>
    </row>
    <row r="177" spans="1:5">
      <c r="A177" s="269"/>
      <c r="B177" s="270"/>
      <c r="C177" s="272" t="s">
        <v>995</v>
      </c>
      <c r="D177" s="270"/>
      <c r="E177" s="271"/>
    </row>
    <row r="178" spans="1:5">
      <c r="A178" s="269"/>
      <c r="B178" s="270"/>
      <c r="C178" s="270" t="s">
        <v>817</v>
      </c>
      <c r="D178" s="270"/>
      <c r="E178" s="271"/>
    </row>
    <row r="179" spans="1:5">
      <c r="A179" s="269"/>
      <c r="B179" s="270"/>
      <c r="C179" s="270" t="s">
        <v>682</v>
      </c>
      <c r="D179" s="270"/>
      <c r="E179" s="271"/>
    </row>
    <row r="180" spans="1:5">
      <c r="A180" s="269"/>
      <c r="B180" s="270"/>
      <c r="C180" s="270" t="s">
        <v>957</v>
      </c>
      <c r="D180" s="270"/>
      <c r="E180" s="271"/>
    </row>
    <row r="181" spans="1:5">
      <c r="A181" s="269"/>
      <c r="B181" s="270"/>
      <c r="C181" s="270" t="s">
        <v>996</v>
      </c>
      <c r="D181" s="270"/>
      <c r="E181" s="271"/>
    </row>
    <row r="182" spans="1:5">
      <c r="A182" s="269"/>
      <c r="B182" s="270"/>
      <c r="C182" s="270" t="s">
        <v>893</v>
      </c>
      <c r="D182" s="270"/>
      <c r="E182" s="271"/>
    </row>
    <row r="183" spans="1:5">
      <c r="A183" s="269"/>
      <c r="B183" s="270"/>
      <c r="C183" s="270" t="s">
        <v>897</v>
      </c>
      <c r="D183" s="270"/>
      <c r="E183" s="271"/>
    </row>
    <row r="184" spans="1:5" ht="15" thickBot="1">
      <c r="A184" s="252"/>
      <c r="B184" s="253"/>
      <c r="C184" s="253"/>
      <c r="D184" s="253"/>
      <c r="E184" s="254"/>
    </row>
  </sheetData>
  <mergeCells count="1">
    <mergeCell ref="A1:E1"/>
  </mergeCells>
  <pageMargins left="0.7" right="0.7" top="1.1299999999999999" bottom="0.84" header="0.3" footer="0.3"/>
  <pageSetup scale="69" fitToHeight="2" orientation="landscape" r:id="rId1"/>
  <headerFooter>
    <oddFooter>&amp;L&amp;F</oddFooter>
  </headerFooter>
  <rowBreaks count="4" manualBreakCount="4">
    <brk id="31" max="4" man="1"/>
    <brk id="67" max="16383" man="1"/>
    <brk id="104" max="16383" man="1"/>
    <brk id="142" max="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19"/>
  <sheetViews>
    <sheetView workbookViewId="0">
      <selection activeCell="C3" sqref="C3:E3"/>
    </sheetView>
  </sheetViews>
  <sheetFormatPr defaultRowHeight="12.75" customHeight="1"/>
  <cols>
    <col min="1" max="1" width="5.7265625" customWidth="1"/>
    <col min="3" max="3" width="22.26953125" customWidth="1"/>
    <col min="4" max="4" width="64.7265625" customWidth="1"/>
    <col min="5" max="5" width="0.36328125" customWidth="1"/>
    <col min="6" max="6" width="15.54296875" customWidth="1"/>
    <col min="7" max="7" width="5.7265625" customWidth="1"/>
    <col min="8" max="8" width="17" customWidth="1"/>
    <col min="256" max="256" width="5.7265625" customWidth="1"/>
    <col min="258" max="258" width="22.26953125" customWidth="1"/>
    <col min="259" max="259" width="64.7265625" customWidth="1"/>
    <col min="260" max="260" width="7.26953125" customWidth="1"/>
    <col min="261" max="261" width="34" bestFit="1" customWidth="1"/>
    <col min="262" max="262" width="24.7265625" bestFit="1" customWidth="1"/>
    <col min="263" max="263" width="5.7265625" customWidth="1"/>
    <col min="264" max="264" width="17" customWidth="1"/>
    <col min="512" max="512" width="5.7265625" customWidth="1"/>
    <col min="514" max="514" width="22.26953125" customWidth="1"/>
    <col min="515" max="515" width="64.7265625" customWidth="1"/>
    <col min="516" max="516" width="7.26953125" customWidth="1"/>
    <col min="517" max="517" width="34" bestFit="1" customWidth="1"/>
    <col min="518" max="518" width="24.7265625" bestFit="1" customWidth="1"/>
    <col min="519" max="519" width="5.7265625" customWidth="1"/>
    <col min="520" max="520" width="17" customWidth="1"/>
    <col min="768" max="768" width="5.7265625" customWidth="1"/>
    <col min="770" max="770" width="22.26953125" customWidth="1"/>
    <col min="771" max="771" width="64.7265625" customWidth="1"/>
    <col min="772" max="772" width="7.26953125" customWidth="1"/>
    <col min="773" max="773" width="34" bestFit="1" customWidth="1"/>
    <col min="774" max="774" width="24.7265625" bestFit="1" customWidth="1"/>
    <col min="775" max="775" width="5.7265625" customWidth="1"/>
    <col min="776" max="776" width="17" customWidth="1"/>
    <col min="1024" max="1024" width="5.7265625" customWidth="1"/>
    <col min="1026" max="1026" width="22.26953125" customWidth="1"/>
    <col min="1027" max="1027" width="64.7265625" customWidth="1"/>
    <col min="1028" max="1028" width="7.26953125" customWidth="1"/>
    <col min="1029" max="1029" width="34" bestFit="1" customWidth="1"/>
    <col min="1030" max="1030" width="24.7265625" bestFit="1" customWidth="1"/>
    <col min="1031" max="1031" width="5.7265625" customWidth="1"/>
    <col min="1032" max="1032" width="17" customWidth="1"/>
    <col min="1280" max="1280" width="5.7265625" customWidth="1"/>
    <col min="1282" max="1282" width="22.26953125" customWidth="1"/>
    <col min="1283" max="1283" width="64.7265625" customWidth="1"/>
    <col min="1284" max="1284" width="7.26953125" customWidth="1"/>
    <col min="1285" max="1285" width="34" bestFit="1" customWidth="1"/>
    <col min="1286" max="1286" width="24.7265625" bestFit="1" customWidth="1"/>
    <col min="1287" max="1287" width="5.7265625" customWidth="1"/>
    <col min="1288" max="1288" width="17" customWidth="1"/>
    <col min="1536" max="1536" width="5.7265625" customWidth="1"/>
    <col min="1538" max="1538" width="22.26953125" customWidth="1"/>
    <col min="1539" max="1539" width="64.7265625" customWidth="1"/>
    <col min="1540" max="1540" width="7.26953125" customWidth="1"/>
    <col min="1541" max="1541" width="34" bestFit="1" customWidth="1"/>
    <col min="1542" max="1542" width="24.7265625" bestFit="1" customWidth="1"/>
    <col min="1543" max="1543" width="5.7265625" customWidth="1"/>
    <col min="1544" max="1544" width="17" customWidth="1"/>
    <col min="1792" max="1792" width="5.7265625" customWidth="1"/>
    <col min="1794" max="1794" width="22.26953125" customWidth="1"/>
    <col min="1795" max="1795" width="64.7265625" customWidth="1"/>
    <col min="1796" max="1796" width="7.26953125" customWidth="1"/>
    <col min="1797" max="1797" width="34" bestFit="1" customWidth="1"/>
    <col min="1798" max="1798" width="24.7265625" bestFit="1" customWidth="1"/>
    <col min="1799" max="1799" width="5.7265625" customWidth="1"/>
    <col min="1800" max="1800" width="17" customWidth="1"/>
    <col min="2048" max="2048" width="5.7265625" customWidth="1"/>
    <col min="2050" max="2050" width="22.26953125" customWidth="1"/>
    <col min="2051" max="2051" width="64.7265625" customWidth="1"/>
    <col min="2052" max="2052" width="7.26953125" customWidth="1"/>
    <col min="2053" max="2053" width="34" bestFit="1" customWidth="1"/>
    <col min="2054" max="2054" width="24.7265625" bestFit="1" customWidth="1"/>
    <col min="2055" max="2055" width="5.7265625" customWidth="1"/>
    <col min="2056" max="2056" width="17" customWidth="1"/>
    <col min="2304" max="2304" width="5.7265625" customWidth="1"/>
    <col min="2306" max="2306" width="22.26953125" customWidth="1"/>
    <col min="2307" max="2307" width="64.7265625" customWidth="1"/>
    <col min="2308" max="2308" width="7.26953125" customWidth="1"/>
    <col min="2309" max="2309" width="34" bestFit="1" customWidth="1"/>
    <col min="2310" max="2310" width="24.7265625" bestFit="1" customWidth="1"/>
    <col min="2311" max="2311" width="5.7265625" customWidth="1"/>
    <col min="2312" max="2312" width="17" customWidth="1"/>
    <col min="2560" max="2560" width="5.7265625" customWidth="1"/>
    <col min="2562" max="2562" width="22.26953125" customWidth="1"/>
    <col min="2563" max="2563" width="64.7265625" customWidth="1"/>
    <col min="2564" max="2564" width="7.26953125" customWidth="1"/>
    <col min="2565" max="2565" width="34" bestFit="1" customWidth="1"/>
    <col min="2566" max="2566" width="24.7265625" bestFit="1" customWidth="1"/>
    <col min="2567" max="2567" width="5.7265625" customWidth="1"/>
    <col min="2568" max="2568" width="17" customWidth="1"/>
    <col min="2816" max="2816" width="5.7265625" customWidth="1"/>
    <col min="2818" max="2818" width="22.26953125" customWidth="1"/>
    <col min="2819" max="2819" width="64.7265625" customWidth="1"/>
    <col min="2820" max="2820" width="7.26953125" customWidth="1"/>
    <col min="2821" max="2821" width="34" bestFit="1" customWidth="1"/>
    <col min="2822" max="2822" width="24.7265625" bestFit="1" customWidth="1"/>
    <col min="2823" max="2823" width="5.7265625" customWidth="1"/>
    <col min="2824" max="2824" width="17" customWidth="1"/>
    <col min="3072" max="3072" width="5.7265625" customWidth="1"/>
    <col min="3074" max="3074" width="22.26953125" customWidth="1"/>
    <col min="3075" max="3075" width="64.7265625" customWidth="1"/>
    <col min="3076" max="3076" width="7.26953125" customWidth="1"/>
    <col min="3077" max="3077" width="34" bestFit="1" customWidth="1"/>
    <col min="3078" max="3078" width="24.7265625" bestFit="1" customWidth="1"/>
    <col min="3079" max="3079" width="5.7265625" customWidth="1"/>
    <col min="3080" max="3080" width="17" customWidth="1"/>
    <col min="3328" max="3328" width="5.7265625" customWidth="1"/>
    <col min="3330" max="3330" width="22.26953125" customWidth="1"/>
    <col min="3331" max="3331" width="64.7265625" customWidth="1"/>
    <col min="3332" max="3332" width="7.26953125" customWidth="1"/>
    <col min="3333" max="3333" width="34" bestFit="1" customWidth="1"/>
    <col min="3334" max="3334" width="24.7265625" bestFit="1" customWidth="1"/>
    <col min="3335" max="3335" width="5.7265625" customWidth="1"/>
    <col min="3336" max="3336" width="17" customWidth="1"/>
    <col min="3584" max="3584" width="5.7265625" customWidth="1"/>
    <col min="3586" max="3586" width="22.26953125" customWidth="1"/>
    <col min="3587" max="3587" width="64.7265625" customWidth="1"/>
    <col min="3588" max="3588" width="7.26953125" customWidth="1"/>
    <col min="3589" max="3589" width="34" bestFit="1" customWidth="1"/>
    <col min="3590" max="3590" width="24.7265625" bestFit="1" customWidth="1"/>
    <col min="3591" max="3591" width="5.7265625" customWidth="1"/>
    <col min="3592" max="3592" width="17" customWidth="1"/>
    <col min="3840" max="3840" width="5.7265625" customWidth="1"/>
    <col min="3842" max="3842" width="22.26953125" customWidth="1"/>
    <col min="3843" max="3843" width="64.7265625" customWidth="1"/>
    <col min="3844" max="3844" width="7.26953125" customWidth="1"/>
    <col min="3845" max="3845" width="34" bestFit="1" customWidth="1"/>
    <col min="3846" max="3846" width="24.7265625" bestFit="1" customWidth="1"/>
    <col min="3847" max="3847" width="5.7265625" customWidth="1"/>
    <col min="3848" max="3848" width="17" customWidth="1"/>
    <col min="4096" max="4096" width="5.7265625" customWidth="1"/>
    <col min="4098" max="4098" width="22.26953125" customWidth="1"/>
    <col min="4099" max="4099" width="64.7265625" customWidth="1"/>
    <col min="4100" max="4100" width="7.26953125" customWidth="1"/>
    <col min="4101" max="4101" width="34" bestFit="1" customWidth="1"/>
    <col min="4102" max="4102" width="24.7265625" bestFit="1" customWidth="1"/>
    <col min="4103" max="4103" width="5.7265625" customWidth="1"/>
    <col min="4104" max="4104" width="17" customWidth="1"/>
    <col min="4352" max="4352" width="5.7265625" customWidth="1"/>
    <col min="4354" max="4354" width="22.26953125" customWidth="1"/>
    <col min="4355" max="4355" width="64.7265625" customWidth="1"/>
    <col min="4356" max="4356" width="7.26953125" customWidth="1"/>
    <col min="4357" max="4357" width="34" bestFit="1" customWidth="1"/>
    <col min="4358" max="4358" width="24.7265625" bestFit="1" customWidth="1"/>
    <col min="4359" max="4359" width="5.7265625" customWidth="1"/>
    <col min="4360" max="4360" width="17" customWidth="1"/>
    <col min="4608" max="4608" width="5.7265625" customWidth="1"/>
    <col min="4610" max="4610" width="22.26953125" customWidth="1"/>
    <col min="4611" max="4611" width="64.7265625" customWidth="1"/>
    <col min="4612" max="4612" width="7.26953125" customWidth="1"/>
    <col min="4613" max="4613" width="34" bestFit="1" customWidth="1"/>
    <col min="4614" max="4614" width="24.7265625" bestFit="1" customWidth="1"/>
    <col min="4615" max="4615" width="5.7265625" customWidth="1"/>
    <col min="4616" max="4616" width="17" customWidth="1"/>
    <col min="4864" max="4864" width="5.7265625" customWidth="1"/>
    <col min="4866" max="4866" width="22.26953125" customWidth="1"/>
    <col min="4867" max="4867" width="64.7265625" customWidth="1"/>
    <col min="4868" max="4868" width="7.26953125" customWidth="1"/>
    <col min="4869" max="4869" width="34" bestFit="1" customWidth="1"/>
    <col min="4870" max="4870" width="24.7265625" bestFit="1" customWidth="1"/>
    <col min="4871" max="4871" width="5.7265625" customWidth="1"/>
    <col min="4872" max="4872" width="17" customWidth="1"/>
    <col min="5120" max="5120" width="5.7265625" customWidth="1"/>
    <col min="5122" max="5122" width="22.26953125" customWidth="1"/>
    <col min="5123" max="5123" width="64.7265625" customWidth="1"/>
    <col min="5124" max="5124" width="7.26953125" customWidth="1"/>
    <col min="5125" max="5125" width="34" bestFit="1" customWidth="1"/>
    <col min="5126" max="5126" width="24.7265625" bestFit="1" customWidth="1"/>
    <col min="5127" max="5127" width="5.7265625" customWidth="1"/>
    <col min="5128" max="5128" width="17" customWidth="1"/>
    <col min="5376" max="5376" width="5.7265625" customWidth="1"/>
    <col min="5378" max="5378" width="22.26953125" customWidth="1"/>
    <col min="5379" max="5379" width="64.7265625" customWidth="1"/>
    <col min="5380" max="5380" width="7.26953125" customWidth="1"/>
    <col min="5381" max="5381" width="34" bestFit="1" customWidth="1"/>
    <col min="5382" max="5382" width="24.7265625" bestFit="1" customWidth="1"/>
    <col min="5383" max="5383" width="5.7265625" customWidth="1"/>
    <col min="5384" max="5384" width="17" customWidth="1"/>
    <col min="5632" max="5632" width="5.7265625" customWidth="1"/>
    <col min="5634" max="5634" width="22.26953125" customWidth="1"/>
    <col min="5635" max="5635" width="64.7265625" customWidth="1"/>
    <col min="5636" max="5636" width="7.26953125" customWidth="1"/>
    <col min="5637" max="5637" width="34" bestFit="1" customWidth="1"/>
    <col min="5638" max="5638" width="24.7265625" bestFit="1" customWidth="1"/>
    <col min="5639" max="5639" width="5.7265625" customWidth="1"/>
    <col min="5640" max="5640" width="17" customWidth="1"/>
    <col min="5888" max="5888" width="5.7265625" customWidth="1"/>
    <col min="5890" max="5890" width="22.26953125" customWidth="1"/>
    <col min="5891" max="5891" width="64.7265625" customWidth="1"/>
    <col min="5892" max="5892" width="7.26953125" customWidth="1"/>
    <col min="5893" max="5893" width="34" bestFit="1" customWidth="1"/>
    <col min="5894" max="5894" width="24.7265625" bestFit="1" customWidth="1"/>
    <col min="5895" max="5895" width="5.7265625" customWidth="1"/>
    <col min="5896" max="5896" width="17" customWidth="1"/>
    <col min="6144" max="6144" width="5.7265625" customWidth="1"/>
    <col min="6146" max="6146" width="22.26953125" customWidth="1"/>
    <col min="6147" max="6147" width="64.7265625" customWidth="1"/>
    <col min="6148" max="6148" width="7.26953125" customWidth="1"/>
    <col min="6149" max="6149" width="34" bestFit="1" customWidth="1"/>
    <col min="6150" max="6150" width="24.7265625" bestFit="1" customWidth="1"/>
    <col min="6151" max="6151" width="5.7265625" customWidth="1"/>
    <col min="6152" max="6152" width="17" customWidth="1"/>
    <col min="6400" max="6400" width="5.7265625" customWidth="1"/>
    <col min="6402" max="6402" width="22.26953125" customWidth="1"/>
    <col min="6403" max="6403" width="64.7265625" customWidth="1"/>
    <col min="6404" max="6404" width="7.26953125" customWidth="1"/>
    <col min="6405" max="6405" width="34" bestFit="1" customWidth="1"/>
    <col min="6406" max="6406" width="24.7265625" bestFit="1" customWidth="1"/>
    <col min="6407" max="6407" width="5.7265625" customWidth="1"/>
    <col min="6408" max="6408" width="17" customWidth="1"/>
    <col min="6656" max="6656" width="5.7265625" customWidth="1"/>
    <col min="6658" max="6658" width="22.26953125" customWidth="1"/>
    <col min="6659" max="6659" width="64.7265625" customWidth="1"/>
    <col min="6660" max="6660" width="7.26953125" customWidth="1"/>
    <col min="6661" max="6661" width="34" bestFit="1" customWidth="1"/>
    <col min="6662" max="6662" width="24.7265625" bestFit="1" customWidth="1"/>
    <col min="6663" max="6663" width="5.7265625" customWidth="1"/>
    <col min="6664" max="6664" width="17" customWidth="1"/>
    <col min="6912" max="6912" width="5.7265625" customWidth="1"/>
    <col min="6914" max="6914" width="22.26953125" customWidth="1"/>
    <col min="6915" max="6915" width="64.7265625" customWidth="1"/>
    <col min="6916" max="6916" width="7.26953125" customWidth="1"/>
    <col min="6917" max="6917" width="34" bestFit="1" customWidth="1"/>
    <col min="6918" max="6918" width="24.7265625" bestFit="1" customWidth="1"/>
    <col min="6919" max="6919" width="5.7265625" customWidth="1"/>
    <col min="6920" max="6920" width="17" customWidth="1"/>
    <col min="7168" max="7168" width="5.7265625" customWidth="1"/>
    <col min="7170" max="7170" width="22.26953125" customWidth="1"/>
    <col min="7171" max="7171" width="64.7265625" customWidth="1"/>
    <col min="7172" max="7172" width="7.26953125" customWidth="1"/>
    <col min="7173" max="7173" width="34" bestFit="1" customWidth="1"/>
    <col min="7174" max="7174" width="24.7265625" bestFit="1" customWidth="1"/>
    <col min="7175" max="7175" width="5.7265625" customWidth="1"/>
    <col min="7176" max="7176" width="17" customWidth="1"/>
    <col min="7424" max="7424" width="5.7265625" customWidth="1"/>
    <col min="7426" max="7426" width="22.26953125" customWidth="1"/>
    <col min="7427" max="7427" width="64.7265625" customWidth="1"/>
    <col min="7428" max="7428" width="7.26953125" customWidth="1"/>
    <col min="7429" max="7429" width="34" bestFit="1" customWidth="1"/>
    <col min="7430" max="7430" width="24.7265625" bestFit="1" customWidth="1"/>
    <col min="7431" max="7431" width="5.7265625" customWidth="1"/>
    <col min="7432" max="7432" width="17" customWidth="1"/>
    <col min="7680" max="7680" width="5.7265625" customWidth="1"/>
    <col min="7682" max="7682" width="22.26953125" customWidth="1"/>
    <col min="7683" max="7683" width="64.7265625" customWidth="1"/>
    <col min="7684" max="7684" width="7.26953125" customWidth="1"/>
    <col min="7685" max="7685" width="34" bestFit="1" customWidth="1"/>
    <col min="7686" max="7686" width="24.7265625" bestFit="1" customWidth="1"/>
    <col min="7687" max="7687" width="5.7265625" customWidth="1"/>
    <col min="7688" max="7688" width="17" customWidth="1"/>
    <col min="7936" max="7936" width="5.7265625" customWidth="1"/>
    <col min="7938" max="7938" width="22.26953125" customWidth="1"/>
    <col min="7939" max="7939" width="64.7265625" customWidth="1"/>
    <col min="7940" max="7940" width="7.26953125" customWidth="1"/>
    <col min="7941" max="7941" width="34" bestFit="1" customWidth="1"/>
    <col min="7942" max="7942" width="24.7265625" bestFit="1" customWidth="1"/>
    <col min="7943" max="7943" width="5.7265625" customWidth="1"/>
    <col min="7944" max="7944" width="17" customWidth="1"/>
    <col min="8192" max="8192" width="5.7265625" customWidth="1"/>
    <col min="8194" max="8194" width="22.26953125" customWidth="1"/>
    <col min="8195" max="8195" width="64.7265625" customWidth="1"/>
    <col min="8196" max="8196" width="7.26953125" customWidth="1"/>
    <col min="8197" max="8197" width="34" bestFit="1" customWidth="1"/>
    <col min="8198" max="8198" width="24.7265625" bestFit="1" customWidth="1"/>
    <col min="8199" max="8199" width="5.7265625" customWidth="1"/>
    <col min="8200" max="8200" width="17" customWidth="1"/>
    <col min="8448" max="8448" width="5.7265625" customWidth="1"/>
    <col min="8450" max="8450" width="22.26953125" customWidth="1"/>
    <col min="8451" max="8451" width="64.7265625" customWidth="1"/>
    <col min="8452" max="8452" width="7.26953125" customWidth="1"/>
    <col min="8453" max="8453" width="34" bestFit="1" customWidth="1"/>
    <col min="8454" max="8454" width="24.7265625" bestFit="1" customWidth="1"/>
    <col min="8455" max="8455" width="5.7265625" customWidth="1"/>
    <col min="8456" max="8456" width="17" customWidth="1"/>
    <col min="8704" max="8704" width="5.7265625" customWidth="1"/>
    <col min="8706" max="8706" width="22.26953125" customWidth="1"/>
    <col min="8707" max="8707" width="64.7265625" customWidth="1"/>
    <col min="8708" max="8708" width="7.26953125" customWidth="1"/>
    <col min="8709" max="8709" width="34" bestFit="1" customWidth="1"/>
    <col min="8710" max="8710" width="24.7265625" bestFit="1" customWidth="1"/>
    <col min="8711" max="8711" width="5.7265625" customWidth="1"/>
    <col min="8712" max="8712" width="17" customWidth="1"/>
    <col min="8960" max="8960" width="5.7265625" customWidth="1"/>
    <col min="8962" max="8962" width="22.26953125" customWidth="1"/>
    <col min="8963" max="8963" width="64.7265625" customWidth="1"/>
    <col min="8964" max="8964" width="7.26953125" customWidth="1"/>
    <col min="8965" max="8965" width="34" bestFit="1" customWidth="1"/>
    <col min="8966" max="8966" width="24.7265625" bestFit="1" customWidth="1"/>
    <col min="8967" max="8967" width="5.7265625" customWidth="1"/>
    <col min="8968" max="8968" width="17" customWidth="1"/>
    <col min="9216" max="9216" width="5.7265625" customWidth="1"/>
    <col min="9218" max="9218" width="22.26953125" customWidth="1"/>
    <col min="9219" max="9219" width="64.7265625" customWidth="1"/>
    <col min="9220" max="9220" width="7.26953125" customWidth="1"/>
    <col min="9221" max="9221" width="34" bestFit="1" customWidth="1"/>
    <col min="9222" max="9222" width="24.7265625" bestFit="1" customWidth="1"/>
    <col min="9223" max="9223" width="5.7265625" customWidth="1"/>
    <col min="9224" max="9224" width="17" customWidth="1"/>
    <col min="9472" max="9472" width="5.7265625" customWidth="1"/>
    <col min="9474" max="9474" width="22.26953125" customWidth="1"/>
    <col min="9475" max="9475" width="64.7265625" customWidth="1"/>
    <col min="9476" max="9476" width="7.26953125" customWidth="1"/>
    <col min="9477" max="9477" width="34" bestFit="1" customWidth="1"/>
    <col min="9478" max="9478" width="24.7265625" bestFit="1" customWidth="1"/>
    <col min="9479" max="9479" width="5.7265625" customWidth="1"/>
    <col min="9480" max="9480" width="17" customWidth="1"/>
    <col min="9728" max="9728" width="5.7265625" customWidth="1"/>
    <col min="9730" max="9730" width="22.26953125" customWidth="1"/>
    <col min="9731" max="9731" width="64.7265625" customWidth="1"/>
    <col min="9732" max="9732" width="7.26953125" customWidth="1"/>
    <col min="9733" max="9733" width="34" bestFit="1" customWidth="1"/>
    <col min="9734" max="9734" width="24.7265625" bestFit="1" customWidth="1"/>
    <col min="9735" max="9735" width="5.7265625" customWidth="1"/>
    <col min="9736" max="9736" width="17" customWidth="1"/>
    <col min="9984" max="9984" width="5.7265625" customWidth="1"/>
    <col min="9986" max="9986" width="22.26953125" customWidth="1"/>
    <col min="9987" max="9987" width="64.7265625" customWidth="1"/>
    <col min="9988" max="9988" width="7.26953125" customWidth="1"/>
    <col min="9989" max="9989" width="34" bestFit="1" customWidth="1"/>
    <col min="9990" max="9990" width="24.7265625" bestFit="1" customWidth="1"/>
    <col min="9991" max="9991" width="5.7265625" customWidth="1"/>
    <col min="9992" max="9992" width="17" customWidth="1"/>
    <col min="10240" max="10240" width="5.7265625" customWidth="1"/>
    <col min="10242" max="10242" width="22.26953125" customWidth="1"/>
    <col min="10243" max="10243" width="64.7265625" customWidth="1"/>
    <col min="10244" max="10244" width="7.26953125" customWidth="1"/>
    <col min="10245" max="10245" width="34" bestFit="1" customWidth="1"/>
    <col min="10246" max="10246" width="24.7265625" bestFit="1" customWidth="1"/>
    <col min="10247" max="10247" width="5.7265625" customWidth="1"/>
    <col min="10248" max="10248" width="17" customWidth="1"/>
    <col min="10496" max="10496" width="5.7265625" customWidth="1"/>
    <col min="10498" max="10498" width="22.26953125" customWidth="1"/>
    <col min="10499" max="10499" width="64.7265625" customWidth="1"/>
    <col min="10500" max="10500" width="7.26953125" customWidth="1"/>
    <col min="10501" max="10501" width="34" bestFit="1" customWidth="1"/>
    <col min="10502" max="10502" width="24.7265625" bestFit="1" customWidth="1"/>
    <col min="10503" max="10503" width="5.7265625" customWidth="1"/>
    <col min="10504" max="10504" width="17" customWidth="1"/>
    <col min="10752" max="10752" width="5.7265625" customWidth="1"/>
    <col min="10754" max="10754" width="22.26953125" customWidth="1"/>
    <col min="10755" max="10755" width="64.7265625" customWidth="1"/>
    <col min="10756" max="10756" width="7.26953125" customWidth="1"/>
    <col min="10757" max="10757" width="34" bestFit="1" customWidth="1"/>
    <col min="10758" max="10758" width="24.7265625" bestFit="1" customWidth="1"/>
    <col min="10759" max="10759" width="5.7265625" customWidth="1"/>
    <col min="10760" max="10760" width="17" customWidth="1"/>
    <col min="11008" max="11008" width="5.7265625" customWidth="1"/>
    <col min="11010" max="11010" width="22.26953125" customWidth="1"/>
    <col min="11011" max="11011" width="64.7265625" customWidth="1"/>
    <col min="11012" max="11012" width="7.26953125" customWidth="1"/>
    <col min="11013" max="11013" width="34" bestFit="1" customWidth="1"/>
    <col min="11014" max="11014" width="24.7265625" bestFit="1" customWidth="1"/>
    <col min="11015" max="11015" width="5.7265625" customWidth="1"/>
    <col min="11016" max="11016" width="17" customWidth="1"/>
    <col min="11264" max="11264" width="5.7265625" customWidth="1"/>
    <col min="11266" max="11266" width="22.26953125" customWidth="1"/>
    <col min="11267" max="11267" width="64.7265625" customWidth="1"/>
    <col min="11268" max="11268" width="7.26953125" customWidth="1"/>
    <col min="11269" max="11269" width="34" bestFit="1" customWidth="1"/>
    <col min="11270" max="11270" width="24.7265625" bestFit="1" customWidth="1"/>
    <col min="11271" max="11271" width="5.7265625" customWidth="1"/>
    <col min="11272" max="11272" width="17" customWidth="1"/>
    <col min="11520" max="11520" width="5.7265625" customWidth="1"/>
    <col min="11522" max="11522" width="22.26953125" customWidth="1"/>
    <col min="11523" max="11523" width="64.7265625" customWidth="1"/>
    <col min="11524" max="11524" width="7.26953125" customWidth="1"/>
    <col min="11525" max="11525" width="34" bestFit="1" customWidth="1"/>
    <col min="11526" max="11526" width="24.7265625" bestFit="1" customWidth="1"/>
    <col min="11527" max="11527" width="5.7265625" customWidth="1"/>
    <col min="11528" max="11528" width="17" customWidth="1"/>
    <col min="11776" max="11776" width="5.7265625" customWidth="1"/>
    <col min="11778" max="11778" width="22.26953125" customWidth="1"/>
    <col min="11779" max="11779" width="64.7265625" customWidth="1"/>
    <col min="11780" max="11780" width="7.26953125" customWidth="1"/>
    <col min="11781" max="11781" width="34" bestFit="1" customWidth="1"/>
    <col min="11782" max="11782" width="24.7265625" bestFit="1" customWidth="1"/>
    <col min="11783" max="11783" width="5.7265625" customWidth="1"/>
    <col min="11784" max="11784" width="17" customWidth="1"/>
    <col min="12032" max="12032" width="5.7265625" customWidth="1"/>
    <col min="12034" max="12034" width="22.26953125" customWidth="1"/>
    <col min="12035" max="12035" width="64.7265625" customWidth="1"/>
    <col min="12036" max="12036" width="7.26953125" customWidth="1"/>
    <col min="12037" max="12037" width="34" bestFit="1" customWidth="1"/>
    <col min="12038" max="12038" width="24.7265625" bestFit="1" customWidth="1"/>
    <col min="12039" max="12039" width="5.7265625" customWidth="1"/>
    <col min="12040" max="12040" width="17" customWidth="1"/>
    <col min="12288" max="12288" width="5.7265625" customWidth="1"/>
    <col min="12290" max="12290" width="22.26953125" customWidth="1"/>
    <col min="12291" max="12291" width="64.7265625" customWidth="1"/>
    <col min="12292" max="12292" width="7.26953125" customWidth="1"/>
    <col min="12293" max="12293" width="34" bestFit="1" customWidth="1"/>
    <col min="12294" max="12294" width="24.7265625" bestFit="1" customWidth="1"/>
    <col min="12295" max="12295" width="5.7265625" customWidth="1"/>
    <col min="12296" max="12296" width="17" customWidth="1"/>
    <col min="12544" max="12544" width="5.7265625" customWidth="1"/>
    <col min="12546" max="12546" width="22.26953125" customWidth="1"/>
    <col min="12547" max="12547" width="64.7265625" customWidth="1"/>
    <col min="12548" max="12548" width="7.26953125" customWidth="1"/>
    <col min="12549" max="12549" width="34" bestFit="1" customWidth="1"/>
    <col min="12550" max="12550" width="24.7265625" bestFit="1" customWidth="1"/>
    <col min="12551" max="12551" width="5.7265625" customWidth="1"/>
    <col min="12552" max="12552" width="17" customWidth="1"/>
    <col min="12800" max="12800" width="5.7265625" customWidth="1"/>
    <col min="12802" max="12802" width="22.26953125" customWidth="1"/>
    <col min="12803" max="12803" width="64.7265625" customWidth="1"/>
    <col min="12804" max="12804" width="7.26953125" customWidth="1"/>
    <col min="12805" max="12805" width="34" bestFit="1" customWidth="1"/>
    <col min="12806" max="12806" width="24.7265625" bestFit="1" customWidth="1"/>
    <col min="12807" max="12807" width="5.7265625" customWidth="1"/>
    <col min="12808" max="12808" width="17" customWidth="1"/>
    <col min="13056" max="13056" width="5.7265625" customWidth="1"/>
    <col min="13058" max="13058" width="22.26953125" customWidth="1"/>
    <col min="13059" max="13059" width="64.7265625" customWidth="1"/>
    <col min="13060" max="13060" width="7.26953125" customWidth="1"/>
    <col min="13061" max="13061" width="34" bestFit="1" customWidth="1"/>
    <col min="13062" max="13062" width="24.7265625" bestFit="1" customWidth="1"/>
    <col min="13063" max="13063" width="5.7265625" customWidth="1"/>
    <col min="13064" max="13064" width="17" customWidth="1"/>
    <col min="13312" max="13312" width="5.7265625" customWidth="1"/>
    <col min="13314" max="13314" width="22.26953125" customWidth="1"/>
    <col min="13315" max="13315" width="64.7265625" customWidth="1"/>
    <col min="13316" max="13316" width="7.26953125" customWidth="1"/>
    <col min="13317" max="13317" width="34" bestFit="1" customWidth="1"/>
    <col min="13318" max="13318" width="24.7265625" bestFit="1" customWidth="1"/>
    <col min="13319" max="13319" width="5.7265625" customWidth="1"/>
    <col min="13320" max="13320" width="17" customWidth="1"/>
    <col min="13568" max="13568" width="5.7265625" customWidth="1"/>
    <col min="13570" max="13570" width="22.26953125" customWidth="1"/>
    <col min="13571" max="13571" width="64.7265625" customWidth="1"/>
    <col min="13572" max="13572" width="7.26953125" customWidth="1"/>
    <col min="13573" max="13573" width="34" bestFit="1" customWidth="1"/>
    <col min="13574" max="13574" width="24.7265625" bestFit="1" customWidth="1"/>
    <col min="13575" max="13575" width="5.7265625" customWidth="1"/>
    <col min="13576" max="13576" width="17" customWidth="1"/>
    <col min="13824" max="13824" width="5.7265625" customWidth="1"/>
    <col min="13826" max="13826" width="22.26953125" customWidth="1"/>
    <col min="13827" max="13827" width="64.7265625" customWidth="1"/>
    <col min="13828" max="13828" width="7.26953125" customWidth="1"/>
    <col min="13829" max="13829" width="34" bestFit="1" customWidth="1"/>
    <col min="13830" max="13830" width="24.7265625" bestFit="1" customWidth="1"/>
    <col min="13831" max="13831" width="5.7265625" customWidth="1"/>
    <col min="13832" max="13832" width="17" customWidth="1"/>
    <col min="14080" max="14080" width="5.7265625" customWidth="1"/>
    <col min="14082" max="14082" width="22.26953125" customWidth="1"/>
    <col min="14083" max="14083" width="64.7265625" customWidth="1"/>
    <col min="14084" max="14084" width="7.26953125" customWidth="1"/>
    <col min="14085" max="14085" width="34" bestFit="1" customWidth="1"/>
    <col min="14086" max="14086" width="24.7265625" bestFit="1" customWidth="1"/>
    <col min="14087" max="14087" width="5.7265625" customWidth="1"/>
    <col min="14088" max="14088" width="17" customWidth="1"/>
    <col min="14336" max="14336" width="5.7265625" customWidth="1"/>
    <col min="14338" max="14338" width="22.26953125" customWidth="1"/>
    <col min="14339" max="14339" width="64.7265625" customWidth="1"/>
    <col min="14340" max="14340" width="7.26953125" customWidth="1"/>
    <col min="14341" max="14341" width="34" bestFit="1" customWidth="1"/>
    <col min="14342" max="14342" width="24.7265625" bestFit="1" customWidth="1"/>
    <col min="14343" max="14343" width="5.7265625" customWidth="1"/>
    <col min="14344" max="14344" width="17" customWidth="1"/>
    <col min="14592" max="14592" width="5.7265625" customWidth="1"/>
    <col min="14594" max="14594" width="22.26953125" customWidth="1"/>
    <col min="14595" max="14595" width="64.7265625" customWidth="1"/>
    <col min="14596" max="14596" width="7.26953125" customWidth="1"/>
    <col min="14597" max="14597" width="34" bestFit="1" customWidth="1"/>
    <col min="14598" max="14598" width="24.7265625" bestFit="1" customWidth="1"/>
    <col min="14599" max="14599" width="5.7265625" customWidth="1"/>
    <col min="14600" max="14600" width="17" customWidth="1"/>
    <col min="14848" max="14848" width="5.7265625" customWidth="1"/>
    <col min="14850" max="14850" width="22.26953125" customWidth="1"/>
    <col min="14851" max="14851" width="64.7265625" customWidth="1"/>
    <col min="14852" max="14852" width="7.26953125" customWidth="1"/>
    <col min="14853" max="14853" width="34" bestFit="1" customWidth="1"/>
    <col min="14854" max="14854" width="24.7265625" bestFit="1" customWidth="1"/>
    <col min="14855" max="14855" width="5.7265625" customWidth="1"/>
    <col min="14856" max="14856" width="17" customWidth="1"/>
    <col min="15104" max="15104" width="5.7265625" customWidth="1"/>
    <col min="15106" max="15106" width="22.26953125" customWidth="1"/>
    <col min="15107" max="15107" width="64.7265625" customWidth="1"/>
    <col min="15108" max="15108" width="7.26953125" customWidth="1"/>
    <col min="15109" max="15109" width="34" bestFit="1" customWidth="1"/>
    <col min="15110" max="15110" width="24.7265625" bestFit="1" customWidth="1"/>
    <col min="15111" max="15111" width="5.7265625" customWidth="1"/>
    <col min="15112" max="15112" width="17" customWidth="1"/>
    <col min="15360" max="15360" width="5.7265625" customWidth="1"/>
    <col min="15362" max="15362" width="22.26953125" customWidth="1"/>
    <col min="15363" max="15363" width="64.7265625" customWidth="1"/>
    <col min="15364" max="15364" width="7.26953125" customWidth="1"/>
    <col min="15365" max="15365" width="34" bestFit="1" customWidth="1"/>
    <col min="15366" max="15366" width="24.7265625" bestFit="1" customWidth="1"/>
    <col min="15367" max="15367" width="5.7265625" customWidth="1"/>
    <col min="15368" max="15368" width="17" customWidth="1"/>
    <col min="15616" max="15616" width="5.7265625" customWidth="1"/>
    <col min="15618" max="15618" width="22.26953125" customWidth="1"/>
    <col min="15619" max="15619" width="64.7265625" customWidth="1"/>
    <col min="15620" max="15620" width="7.26953125" customWidth="1"/>
    <col min="15621" max="15621" width="34" bestFit="1" customWidth="1"/>
    <col min="15622" max="15622" width="24.7265625" bestFit="1" customWidth="1"/>
    <col min="15623" max="15623" width="5.7265625" customWidth="1"/>
    <col min="15624" max="15624" width="17" customWidth="1"/>
    <col min="15872" max="15872" width="5.7265625" customWidth="1"/>
    <col min="15874" max="15874" width="22.26953125" customWidth="1"/>
    <col min="15875" max="15875" width="64.7265625" customWidth="1"/>
    <col min="15876" max="15876" width="7.26953125" customWidth="1"/>
    <col min="15877" max="15877" width="34" bestFit="1" customWidth="1"/>
    <col min="15878" max="15878" width="24.7265625" bestFit="1" customWidth="1"/>
    <col min="15879" max="15879" width="5.7265625" customWidth="1"/>
    <col min="15880" max="15880" width="17" customWidth="1"/>
    <col min="16128" max="16128" width="5.7265625" customWidth="1"/>
    <col min="16130" max="16130" width="22.26953125" customWidth="1"/>
    <col min="16131" max="16131" width="64.7265625" customWidth="1"/>
    <col min="16132" max="16132" width="7.26953125" customWidth="1"/>
    <col min="16133" max="16133" width="34" bestFit="1" customWidth="1"/>
    <col min="16134" max="16134" width="24.7265625" bestFit="1" customWidth="1"/>
    <col min="16135" max="16135" width="5.7265625" customWidth="1"/>
    <col min="16136" max="16136" width="17" customWidth="1"/>
  </cols>
  <sheetData>
    <row r="1" spans="2:6" ht="18.5" thickBot="1">
      <c r="B1" s="281" t="s">
        <v>33</v>
      </c>
      <c r="C1" s="282"/>
      <c r="D1" s="282"/>
      <c r="E1" s="282"/>
      <c r="F1" s="283"/>
    </row>
    <row r="2" spans="2:6" ht="16" thickBot="1">
      <c r="C2" s="6"/>
      <c r="D2" s="7"/>
      <c r="E2" s="7"/>
      <c r="F2" s="7"/>
    </row>
    <row r="3" spans="2:6" ht="15.5">
      <c r="B3" s="2" t="s">
        <v>18</v>
      </c>
      <c r="C3" s="278" t="s">
        <v>19</v>
      </c>
      <c r="D3" s="278"/>
      <c r="E3" s="278"/>
      <c r="F3" s="3" t="s">
        <v>20</v>
      </c>
    </row>
    <row r="4" spans="2:6" ht="15.5">
      <c r="B4" s="8">
        <v>5</v>
      </c>
      <c r="C4" s="280" t="s">
        <v>913</v>
      </c>
      <c r="D4" s="280"/>
      <c r="E4" s="280"/>
      <c r="F4" s="4" t="s">
        <v>22</v>
      </c>
    </row>
    <row r="5" spans="2:6" ht="15.5">
      <c r="B5" s="8">
        <v>4</v>
      </c>
      <c r="C5" s="280" t="s">
        <v>914</v>
      </c>
      <c r="D5" s="280"/>
      <c r="E5" s="280"/>
      <c r="F5" s="4" t="s">
        <v>22</v>
      </c>
    </row>
    <row r="6" spans="2:6" ht="15.5">
      <c r="B6" s="8">
        <v>3</v>
      </c>
      <c r="C6" s="280" t="s">
        <v>915</v>
      </c>
      <c r="D6" s="280"/>
      <c r="E6" s="280"/>
      <c r="F6" s="4" t="s">
        <v>916</v>
      </c>
    </row>
    <row r="7" spans="2:6" ht="15.5">
      <c r="B7" s="8">
        <v>2</v>
      </c>
      <c r="C7" s="280" t="s">
        <v>917</v>
      </c>
      <c r="D7" s="280"/>
      <c r="E7" s="280"/>
      <c r="F7" s="4" t="s">
        <v>24</v>
      </c>
    </row>
    <row r="8" spans="2:6" ht="16" thickBot="1">
      <c r="B8" s="9">
        <v>1</v>
      </c>
      <c r="C8" s="277" t="s">
        <v>918</v>
      </c>
      <c r="D8" s="277"/>
      <c r="E8" s="277"/>
      <c r="F8" s="10" t="s">
        <v>32</v>
      </c>
    </row>
    <row r="9" spans="2:6" ht="15.5">
      <c r="B9" s="6"/>
      <c r="C9" s="6"/>
      <c r="D9" s="268"/>
      <c r="E9" s="268"/>
      <c r="F9" s="268"/>
    </row>
    <row r="10" spans="2:6" ht="15.5">
      <c r="B10" s="6"/>
      <c r="C10" s="6"/>
      <c r="D10" s="268"/>
      <c r="E10" s="268"/>
      <c r="F10" s="268"/>
    </row>
    <row r="11" spans="2:6" ht="16" thickBot="1">
      <c r="B11" s="6"/>
      <c r="C11" s="6"/>
      <c r="D11" s="268"/>
      <c r="E11" s="268"/>
      <c r="F11" s="268"/>
    </row>
    <row r="12" spans="2:6" ht="15.5">
      <c r="B12" s="2" t="s">
        <v>18</v>
      </c>
      <c r="C12" s="278" t="s">
        <v>434</v>
      </c>
      <c r="D12" s="278"/>
      <c r="E12" s="278"/>
      <c r="F12" s="3" t="s">
        <v>25</v>
      </c>
    </row>
    <row r="13" spans="2:6" ht="15.5">
      <c r="B13" s="8">
        <v>5</v>
      </c>
      <c r="C13" s="279" t="s">
        <v>27</v>
      </c>
      <c r="D13" s="279"/>
      <c r="E13" s="279"/>
      <c r="F13" s="4" t="s">
        <v>28</v>
      </c>
    </row>
    <row r="14" spans="2:6" ht="15.5">
      <c r="B14" s="8">
        <v>4</v>
      </c>
      <c r="C14" s="279" t="s">
        <v>29</v>
      </c>
      <c r="D14" s="279"/>
      <c r="E14" s="279"/>
      <c r="F14" s="4" t="s">
        <v>919</v>
      </c>
    </row>
    <row r="15" spans="2:6" ht="15.5">
      <c r="B15" s="8">
        <v>3</v>
      </c>
      <c r="C15" s="279" t="s">
        <v>30</v>
      </c>
      <c r="D15" s="279"/>
      <c r="E15" s="279"/>
      <c r="F15" s="4" t="s">
        <v>916</v>
      </c>
    </row>
    <row r="16" spans="2:6" ht="15.5">
      <c r="B16" s="8">
        <v>2</v>
      </c>
      <c r="C16" s="266" t="s">
        <v>31</v>
      </c>
      <c r="D16" s="267"/>
      <c r="E16" s="267"/>
      <c r="F16" s="4" t="s">
        <v>920</v>
      </c>
    </row>
    <row r="17" spans="2:6" ht="16" thickBot="1">
      <c r="B17" s="9">
        <v>1</v>
      </c>
      <c r="C17" s="276" t="s">
        <v>939</v>
      </c>
      <c r="D17" s="276"/>
      <c r="E17" s="276"/>
      <c r="F17" s="10" t="s">
        <v>921</v>
      </c>
    </row>
    <row r="18" spans="2:6" ht="15.5">
      <c r="B18" s="6"/>
      <c r="C18" s="6"/>
      <c r="D18" s="268"/>
      <c r="E18" s="268"/>
      <c r="F18" s="268"/>
    </row>
    <row r="19" spans="2:6" ht="15.5">
      <c r="D19" s="268"/>
      <c r="F19" s="268"/>
    </row>
  </sheetData>
  <mergeCells count="12">
    <mergeCell ref="C7:E7"/>
    <mergeCell ref="B1:F1"/>
    <mergeCell ref="C3:E3"/>
    <mergeCell ref="C4:E4"/>
    <mergeCell ref="C5:E5"/>
    <mergeCell ref="C6:E6"/>
    <mergeCell ref="C17:E17"/>
    <mergeCell ref="C8:E8"/>
    <mergeCell ref="C12:E12"/>
    <mergeCell ref="C13:E13"/>
    <mergeCell ref="C14:E14"/>
    <mergeCell ref="C15:E15"/>
  </mergeCells>
  <pageMargins left="0.7" right="0.7" top="0.75" bottom="0.75" header="0.3" footer="0.3"/>
  <pageSetup orientation="landscape" r:id="rId1"/>
  <headerFooter>
    <oddFooter>&amp;L&amp;F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6F94-D89B-4EA3-9D64-216B8A799C4E}">
  <dimension ref="A1:G15"/>
  <sheetViews>
    <sheetView showGridLines="0" workbookViewId="0">
      <selection activeCell="I2" sqref="I2"/>
    </sheetView>
  </sheetViews>
  <sheetFormatPr defaultRowHeight="14.5"/>
  <cols>
    <col min="2" max="2" width="44.1796875" customWidth="1"/>
    <col min="3" max="3" width="12.08984375" customWidth="1"/>
    <col min="4" max="4" width="9.26953125" customWidth="1"/>
    <col min="5" max="5" width="9.54296875" customWidth="1"/>
    <col min="6" max="6" width="10.1796875" customWidth="1"/>
    <col min="7" max="7" width="11.81640625" customWidth="1"/>
  </cols>
  <sheetData>
    <row r="1" spans="1:7" ht="15" thickBot="1"/>
    <row r="2" spans="1:7">
      <c r="A2" s="292" t="s">
        <v>932</v>
      </c>
      <c r="B2" s="293"/>
      <c r="C2" s="299" t="s">
        <v>922</v>
      </c>
      <c r="D2" s="300"/>
      <c r="E2" s="300"/>
      <c r="F2" s="300"/>
      <c r="G2" s="301"/>
    </row>
    <row r="3" spans="1:7" ht="26.5" thickBot="1">
      <c r="A3" s="294"/>
      <c r="B3" s="295"/>
      <c r="C3" s="218" t="s">
        <v>923</v>
      </c>
      <c r="D3" s="219" t="s">
        <v>933</v>
      </c>
      <c r="E3" s="219" t="s">
        <v>924</v>
      </c>
      <c r="F3" s="219" t="s">
        <v>934</v>
      </c>
      <c r="G3" s="220" t="s">
        <v>925</v>
      </c>
    </row>
    <row r="4" spans="1:7" ht="32" customHeight="1">
      <c r="A4" s="296" t="s">
        <v>926</v>
      </c>
      <c r="B4" s="255" t="s">
        <v>931</v>
      </c>
      <c r="C4" s="231" t="s">
        <v>24</v>
      </c>
      <c r="D4" s="221" t="s">
        <v>916</v>
      </c>
      <c r="E4" s="222" t="s">
        <v>22</v>
      </c>
      <c r="F4" s="222" t="s">
        <v>22</v>
      </c>
      <c r="G4" s="223" t="s">
        <v>22</v>
      </c>
    </row>
    <row r="5" spans="1:7" ht="32" customHeight="1">
      <c r="A5" s="297"/>
      <c r="B5" s="256" t="s">
        <v>930</v>
      </c>
      <c r="C5" s="232" t="s">
        <v>24</v>
      </c>
      <c r="D5" s="224" t="s">
        <v>916</v>
      </c>
      <c r="E5" s="225" t="s">
        <v>22</v>
      </c>
      <c r="F5" s="225" t="s">
        <v>22</v>
      </c>
      <c r="G5" s="226" t="s">
        <v>22</v>
      </c>
    </row>
    <row r="6" spans="1:7" ht="32" customHeight="1">
      <c r="A6" s="297"/>
      <c r="B6" s="257" t="s">
        <v>929</v>
      </c>
      <c r="C6" s="232" t="s">
        <v>24</v>
      </c>
      <c r="D6" s="224" t="s">
        <v>916</v>
      </c>
      <c r="E6" s="224" t="s">
        <v>916</v>
      </c>
      <c r="F6" s="225" t="s">
        <v>22</v>
      </c>
      <c r="G6" s="226" t="s">
        <v>22</v>
      </c>
    </row>
    <row r="7" spans="1:7" ht="32" customHeight="1">
      <c r="A7" s="297"/>
      <c r="B7" s="257" t="s">
        <v>928</v>
      </c>
      <c r="C7" s="232" t="s">
        <v>24</v>
      </c>
      <c r="D7" s="227" t="s">
        <v>24</v>
      </c>
      <c r="E7" s="224" t="s">
        <v>916</v>
      </c>
      <c r="F7" s="224" t="s">
        <v>916</v>
      </c>
      <c r="G7" s="228" t="s">
        <v>916</v>
      </c>
    </row>
    <row r="8" spans="1:7" ht="32" customHeight="1" thickBot="1">
      <c r="A8" s="298"/>
      <c r="B8" s="258" t="s">
        <v>927</v>
      </c>
      <c r="C8" s="233" t="s">
        <v>32</v>
      </c>
      <c r="D8" s="229" t="s">
        <v>24</v>
      </c>
      <c r="E8" s="229" t="s">
        <v>24</v>
      </c>
      <c r="F8" s="229" t="s">
        <v>24</v>
      </c>
      <c r="G8" s="230" t="s">
        <v>24</v>
      </c>
    </row>
    <row r="11" spans="1:7" ht="15" thickBot="1">
      <c r="B11" s="302" t="s">
        <v>936</v>
      </c>
      <c r="C11" s="302"/>
      <c r="D11" s="302"/>
      <c r="E11" s="302"/>
    </row>
    <row r="12" spans="1:7" ht="28" customHeight="1">
      <c r="B12" s="238" t="s">
        <v>948</v>
      </c>
      <c r="C12" s="286" t="s">
        <v>935</v>
      </c>
      <c r="D12" s="286"/>
      <c r="E12" s="287"/>
    </row>
    <row r="13" spans="1:7" ht="47" customHeight="1">
      <c r="B13" s="237" t="s">
        <v>947</v>
      </c>
      <c r="C13" s="288" t="s">
        <v>937</v>
      </c>
      <c r="D13" s="288"/>
      <c r="E13" s="289"/>
    </row>
    <row r="14" spans="1:7" ht="26.5" customHeight="1">
      <c r="B14" s="236" t="s">
        <v>946</v>
      </c>
      <c r="C14" s="290" t="s">
        <v>938</v>
      </c>
      <c r="D14" s="290"/>
      <c r="E14" s="291"/>
    </row>
    <row r="15" spans="1:7" ht="15" thickBot="1">
      <c r="B15" s="235" t="s">
        <v>945</v>
      </c>
      <c r="C15" s="284" t="s">
        <v>938</v>
      </c>
      <c r="D15" s="284"/>
      <c r="E15" s="285"/>
    </row>
  </sheetData>
  <mergeCells count="8">
    <mergeCell ref="C15:E15"/>
    <mergeCell ref="C12:E12"/>
    <mergeCell ref="C13:E13"/>
    <mergeCell ref="C14:E14"/>
    <mergeCell ref="A2:B3"/>
    <mergeCell ref="A4:A8"/>
    <mergeCell ref="C2:G2"/>
    <mergeCell ref="B11:E11"/>
  </mergeCells>
  <conditionalFormatting sqref="B12">
    <cfRule type="cellIs" dxfId="41" priority="1" stopIfTrue="1" operator="equal">
      <formula>0</formula>
    </cfRule>
  </conditionalFormatting>
  <conditionalFormatting sqref="B13">
    <cfRule type="cellIs" dxfId="40" priority="3" stopIfTrue="1" operator="equal">
      <formula>0</formula>
    </cfRule>
  </conditionalFormatting>
  <conditionalFormatting sqref="B14:B15">
    <cfRule type="cellIs" dxfId="39" priority="2" stopIfTrue="1" operator="equal">
      <formula>0</formula>
    </cfRule>
  </conditionalFormatting>
  <conditionalFormatting sqref="C4:C8 D7:D8 E8:G8">
    <cfRule type="cellIs" dxfId="38" priority="5" stopIfTrue="1" operator="equal">
      <formula>0</formula>
    </cfRule>
  </conditionalFormatting>
  <conditionalFormatting sqref="D4:D6 E6:E7 F7:G7">
    <cfRule type="cellIs" dxfId="37" priority="6" stopIfTrue="1" operator="equal">
      <formula>0</formula>
    </cfRule>
  </conditionalFormatting>
  <conditionalFormatting sqref="E4:F5 G4:G6 F6:G6">
    <cfRule type="cellIs" dxfId="36" priority="7" stopIfTrue="1" operator="equal">
      <formula>0</formula>
    </cfRule>
  </conditionalFormatting>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zoomScale="82" zoomScaleNormal="82" workbookViewId="0">
      <selection activeCell="E3" sqref="E3"/>
    </sheetView>
  </sheetViews>
  <sheetFormatPr defaultRowHeight="14.5"/>
  <cols>
    <col min="1" max="1" width="31.81640625" customWidth="1"/>
    <col min="2" max="5" width="23.7265625" customWidth="1"/>
  </cols>
  <sheetData>
    <row r="1" spans="1:5" ht="18">
      <c r="A1" s="303" t="s">
        <v>615</v>
      </c>
      <c r="B1" s="303"/>
      <c r="C1" s="303"/>
      <c r="D1" s="303"/>
      <c r="E1" s="303"/>
    </row>
    <row r="2" spans="1:5" ht="16" thickBot="1">
      <c r="B2" s="6"/>
      <c r="C2" s="7"/>
    </row>
    <row r="3" spans="1:5" ht="16" thickBot="1">
      <c r="A3" s="179"/>
      <c r="B3" s="178" t="s">
        <v>616</v>
      </c>
      <c r="C3" s="173" t="s">
        <v>940</v>
      </c>
      <c r="D3" s="173" t="s">
        <v>617</v>
      </c>
      <c r="E3" s="174" t="s">
        <v>618</v>
      </c>
    </row>
    <row r="4" spans="1:5" ht="112">
      <c r="A4" s="175" t="s">
        <v>619</v>
      </c>
      <c r="B4" s="180" t="s">
        <v>622</v>
      </c>
      <c r="C4" s="180" t="s">
        <v>623</v>
      </c>
      <c r="D4" s="180" t="s">
        <v>631</v>
      </c>
      <c r="E4" s="181" t="s">
        <v>624</v>
      </c>
    </row>
    <row r="5" spans="1:5" ht="112">
      <c r="A5" s="176" t="s">
        <v>621</v>
      </c>
      <c r="B5" s="180" t="s">
        <v>625</v>
      </c>
      <c r="C5" s="180" t="s">
        <v>626</v>
      </c>
      <c r="D5" s="180" t="s">
        <v>632</v>
      </c>
      <c r="E5" s="181" t="s">
        <v>627</v>
      </c>
    </row>
    <row r="6" spans="1:5" ht="126.5" thickBot="1">
      <c r="A6" s="177" t="s">
        <v>620</v>
      </c>
      <c r="B6" s="182" t="s">
        <v>628</v>
      </c>
      <c r="C6" s="182" t="s">
        <v>629</v>
      </c>
      <c r="D6" s="182" t="s">
        <v>633</v>
      </c>
      <c r="E6" s="183" t="s">
        <v>630</v>
      </c>
    </row>
  </sheetData>
  <mergeCells count="1">
    <mergeCell ref="A1:E1"/>
  </mergeCells>
  <pageMargins left="0.7" right="0.7" top="0.75" bottom="0.75" header="0.3" footer="0.3"/>
  <pageSetup paperSize="9" orientation="landscape" r:id="rId1"/>
  <headerFooter>
    <oddFooter>&amp;L&amp;F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D9"/>
  <sheetViews>
    <sheetView showGridLines="0" zoomScale="77" zoomScaleNormal="77" workbookViewId="0">
      <selection activeCell="O5" sqref="O5:O6"/>
    </sheetView>
  </sheetViews>
  <sheetFormatPr defaultColWidth="13.7265625" defaultRowHeight="37.5" customHeight="1"/>
  <cols>
    <col min="1" max="1" width="7.81640625" customWidth="1"/>
    <col min="2" max="2" width="6" customWidth="1"/>
    <col min="8" max="8" width="4.26953125" customWidth="1"/>
    <col min="9" max="9" width="8.453125" customWidth="1"/>
    <col min="10" max="10" width="6.453125" customWidth="1"/>
    <col min="12" max="12" width="7.81640625" customWidth="1"/>
    <col min="18" max="18" width="10.1796875" customWidth="1"/>
  </cols>
  <sheetData>
    <row r="1" spans="1:30" s="44" customFormat="1" ht="37.5" customHeight="1">
      <c r="A1" s="306" t="s">
        <v>90</v>
      </c>
      <c r="B1" s="306"/>
      <c r="C1" s="306"/>
      <c r="D1" s="306"/>
      <c r="E1" s="306"/>
      <c r="F1" s="306"/>
      <c r="G1" s="306"/>
      <c r="H1" s="306"/>
      <c r="I1" s="306"/>
      <c r="J1" s="306"/>
      <c r="K1" s="306"/>
      <c r="L1" s="306"/>
      <c r="M1" s="306"/>
      <c r="N1" s="306"/>
      <c r="O1" s="306"/>
      <c r="P1" s="306"/>
      <c r="Q1" s="306"/>
      <c r="R1" s="43"/>
      <c r="S1" s="43"/>
      <c r="T1" s="43"/>
      <c r="U1" s="43"/>
      <c r="V1" s="43"/>
      <c r="W1" s="43"/>
      <c r="X1" s="43"/>
      <c r="Y1" s="43"/>
      <c r="Z1" s="43"/>
      <c r="AA1" s="43"/>
      <c r="AB1" s="43"/>
      <c r="AC1" s="43"/>
      <c r="AD1" s="43"/>
    </row>
    <row r="2" spans="1:30" s="44" customFormat="1" ht="37.5" customHeight="1">
      <c r="A2" s="89"/>
      <c r="B2" s="45"/>
      <c r="C2" s="308" t="s">
        <v>989</v>
      </c>
      <c r="D2" s="308"/>
      <c r="E2" s="308"/>
      <c r="F2" s="308"/>
      <c r="G2" s="308"/>
      <c r="H2" s="45"/>
      <c r="I2" s="45"/>
      <c r="J2" s="43"/>
      <c r="K2" s="45"/>
      <c r="L2" s="43"/>
      <c r="M2" s="308" t="s">
        <v>990</v>
      </c>
      <c r="N2" s="308"/>
      <c r="O2" s="308"/>
      <c r="P2" s="308"/>
      <c r="Q2" s="308"/>
      <c r="R2" s="43"/>
      <c r="S2" s="43"/>
      <c r="T2" s="43"/>
      <c r="U2" s="43"/>
      <c r="V2" s="43"/>
      <c r="W2" s="43"/>
      <c r="X2" s="43"/>
      <c r="Y2" s="43"/>
    </row>
    <row r="3" spans="1:30" s="44" customFormat="1" ht="37.5" customHeight="1">
      <c r="A3" s="307" t="s">
        <v>19</v>
      </c>
      <c r="B3" s="46">
        <v>5</v>
      </c>
      <c r="C3" s="245">
        <f>COUNTIFS('IT Risk Assessment Sheet'!$M$2:$M$86, "5", 'IT Risk Assessment Sheet'!$N$2:$N$86, "1")</f>
        <v>0</v>
      </c>
      <c r="D3" s="246">
        <f>COUNTIFS('IT Risk Assessment Sheet'!$M$2:$M$86, "5", 'IT Risk Assessment Sheet'!$N$2:$N$86, "2")</f>
        <v>0</v>
      </c>
      <c r="E3" s="247">
        <f>COUNTIFS('IT Risk Assessment Sheet'!$M$2:$M$86, "5", 'IT Risk Assessment Sheet'!$N$2:$N$86, "3")</f>
        <v>0</v>
      </c>
      <c r="F3" s="247">
        <f>COUNTIFS('IT Risk Assessment Sheet'!$M$2:$M$86, "5", 'IT Risk Assessment Sheet'!$N$2:$N$86, "4")</f>
        <v>0</v>
      </c>
      <c r="G3" s="247">
        <f>COUNTIFS('IT Risk Assessment Sheet'!$M$2:$M$86, "5", 'IT Risk Assessment Sheet'!$N$2:$N$86, "5")</f>
        <v>0</v>
      </c>
      <c r="H3" s="43"/>
      <c r="I3" s="48"/>
      <c r="J3" s="43"/>
      <c r="K3" s="305" t="s">
        <v>19</v>
      </c>
      <c r="L3" s="46">
        <v>5</v>
      </c>
      <c r="M3" s="245">
        <f>COUNTIFS('IT Risk Assessment Sheet'!$R$2:$R$86, "5", 'IT Risk Assessment Sheet'!$S$2:$S$86, "1")</f>
        <v>0</v>
      </c>
      <c r="N3" s="249">
        <f>COUNTIFS('IT Risk Assessment Sheet'!$R$2:$R$86, "5", 'IT Risk Assessment Sheet'!$S$2:$S$86, "2")</f>
        <v>0</v>
      </c>
      <c r="O3" s="247">
        <f>COUNTIFS('IT Risk Assessment Sheet'!$R$2:$R$86, "5", 'IT Risk Assessment Sheet'!$S$2:$S$86, "3")</f>
        <v>0</v>
      </c>
      <c r="P3" s="247">
        <f>COUNTIFS('IT Risk Assessment Sheet'!$R$2:$R$86, "5", 'IT Risk Assessment Sheet'!$S$2:$S$86, "4")</f>
        <v>0</v>
      </c>
      <c r="Q3" s="247">
        <f>COUNTIFS('IT Risk Assessment Sheet'!$R$2:$R$86, "5", 'IT Risk Assessment Sheet'!$S$2:$S$86, "5")</f>
        <v>0</v>
      </c>
      <c r="R3" s="43"/>
      <c r="S3" s="302" t="s">
        <v>433</v>
      </c>
      <c r="T3" s="302"/>
      <c r="U3" s="302"/>
      <c r="V3" s="302"/>
      <c r="W3" s="43"/>
      <c r="X3" s="43"/>
      <c r="Y3" s="43"/>
    </row>
    <row r="4" spans="1:30" s="44" customFormat="1" ht="37.5" customHeight="1">
      <c r="A4" s="307"/>
      <c r="B4" s="46">
        <v>4</v>
      </c>
      <c r="C4" s="248">
        <f>COUNTIFS('IT Risk Assessment Sheet'!$M$2:$M$86, "4", 'IT Risk Assessment Sheet'!$N$2:$N$86, "1")</f>
        <v>0</v>
      </c>
      <c r="D4" s="246">
        <f>COUNTIFS('IT Risk Assessment Sheet'!$M$2:$M$86, "4", 'IT Risk Assessment Sheet'!$N$2:$N$86, "2")</f>
        <v>0</v>
      </c>
      <c r="E4" s="242">
        <f>COUNTIFS('IT Risk Assessment Sheet'!$M$2:$M$86, "4", 'IT Risk Assessment Sheet'!$N$2:$N$86, "3")</f>
        <v>2</v>
      </c>
      <c r="F4" s="242">
        <f>COUNTIFS('IT Risk Assessment Sheet'!$M$2:$M$86, "4", 'IT Risk Assessment Sheet'!$N$2:$N$86, "4")</f>
        <v>4</v>
      </c>
      <c r="G4" s="242">
        <f>COUNTIFS('IT Risk Assessment Sheet'!$M$2:$M$86, "4", 'IT Risk Assessment Sheet'!$N$2:$N$86, "5")</f>
        <v>1</v>
      </c>
      <c r="H4" s="43"/>
      <c r="I4" s="49"/>
      <c r="J4" s="43"/>
      <c r="K4" s="305"/>
      <c r="L4" s="46">
        <v>4</v>
      </c>
      <c r="M4" s="248">
        <f>COUNTIFS('IT Risk Assessment Sheet'!$R$2:$R$86, "4", 'IT Risk Assessment Sheet'!$S$2:$S$86, "1")</f>
        <v>0</v>
      </c>
      <c r="N4" s="246">
        <f>COUNTIFS('IT Risk Assessment Sheet'!$R$2:$R$86, "4", 'IT Risk Assessment Sheet'!$S$2:$S$86, "2")</f>
        <v>0</v>
      </c>
      <c r="O4" s="244">
        <f>COUNTIFS('IT Risk Assessment Sheet'!$R$2:$R$86, "4", 'IT Risk Assessment Sheet'!$S$2:$S$86, "3")</f>
        <v>0</v>
      </c>
      <c r="P4" s="247">
        <f>COUNTIFS('IT Risk Assessment Sheet'!$R$2:$R$86, "5", 'IT Risk Assessment Sheet'!$S$2:$S$86, "4")</f>
        <v>0</v>
      </c>
      <c r="Q4" s="247">
        <f>COUNTIFS('IT Risk Assessment Sheet'!$R$2:$R$86, "5", 'IT Risk Assessment Sheet'!$S$2:$S$86, "5")</f>
        <v>0</v>
      </c>
      <c r="R4" s="43"/>
      <c r="S4" s="47"/>
      <c r="T4" s="304" t="s">
        <v>430</v>
      </c>
      <c r="U4" s="304"/>
      <c r="V4" s="304"/>
      <c r="W4" s="43"/>
      <c r="X4" s="43"/>
      <c r="Y4" s="43"/>
    </row>
    <row r="5" spans="1:30" s="44" customFormat="1" ht="37.5" customHeight="1">
      <c r="A5" s="307"/>
      <c r="B5" s="46">
        <v>3</v>
      </c>
      <c r="C5" s="239">
        <f>COUNTIFS('IT Risk Assessment Sheet'!$M$2:$M$86, "3", 'IT Risk Assessment Sheet'!$N$2:$N$86, "1")</f>
        <v>1</v>
      </c>
      <c r="D5" s="240">
        <f>COUNTIFS('IT Risk Assessment Sheet'!$M$2:$M$86, "3", 'IT Risk Assessment Sheet'!$N$2:$N$86, "2")</f>
        <v>12</v>
      </c>
      <c r="E5" s="241">
        <f>COUNTIFS('IT Risk Assessment Sheet'!$M$2:$M$86, "3", 'IT Risk Assessment Sheet'!$N$2:$N$86, "3")</f>
        <v>28</v>
      </c>
      <c r="F5" s="243">
        <f>COUNTIFS('IT Risk Assessment Sheet'!$M$2:$M$86, "3", 'IT Risk Assessment Sheet'!$N$2:$N$86, "4")</f>
        <v>26</v>
      </c>
      <c r="G5" s="247">
        <f>COUNTIFS('IT Risk Assessment Sheet'!$M$2:$M$86, "3", 'IT Risk Assessment Sheet'!$N$2:$N$86, "5")</f>
        <v>0</v>
      </c>
      <c r="H5" s="43"/>
      <c r="I5" s="48"/>
      <c r="J5" s="43"/>
      <c r="K5" s="305"/>
      <c r="L5" s="46">
        <v>3</v>
      </c>
      <c r="M5" s="239">
        <f>COUNTIFS('IT Risk Assessment Sheet'!$R$2:$R$86, "3", 'IT Risk Assessment Sheet'!$S$2:$S$86, "1")</f>
        <v>1</v>
      </c>
      <c r="N5" s="246">
        <f>COUNTIFS('IT Risk Assessment Sheet'!$R$2:$R$86, "3", 'IT Risk Assessment Sheet'!$S$2:$S$86, "2")</f>
        <v>0</v>
      </c>
      <c r="O5" s="241">
        <f>COUNTIFS('IT Risk Assessment Sheet'!$R$2:$R$86, "3", 'IT Risk Assessment Sheet'!$S$2:$S$86, "3")</f>
        <v>2</v>
      </c>
      <c r="P5" s="244">
        <f>COUNTIFS('IT Risk Assessment Sheet'!$R$2:$R$86, "3", 'IT Risk Assessment Sheet'!$S$2:$S$86, "4")</f>
        <v>0</v>
      </c>
      <c r="Q5" s="247">
        <f>COUNTIFS('IT Risk Assessment Sheet'!$R$2:$R$86, "3", 'IT Risk Assessment Sheet'!$S$2:$S$86, "5")</f>
        <v>0</v>
      </c>
      <c r="R5" s="43"/>
      <c r="S5" s="50"/>
      <c r="T5" s="304" t="s">
        <v>431</v>
      </c>
      <c r="U5" s="304"/>
      <c r="V5" s="304"/>
      <c r="W5" s="43"/>
      <c r="X5" s="43"/>
      <c r="Y5" s="43"/>
    </row>
    <row r="6" spans="1:30" s="44" customFormat="1" ht="37.5" customHeight="1">
      <c r="A6" s="307"/>
      <c r="B6" s="46">
        <v>2</v>
      </c>
      <c r="C6" s="248">
        <f>COUNTIFS('IT Risk Assessment Sheet'!$M$2:$M$86, "2", 'IT Risk Assessment Sheet'!$N$2:$N$86, "1")</f>
        <v>0</v>
      </c>
      <c r="D6" s="239">
        <f>COUNTIFS('IT Risk Assessment Sheet'!$M$2:$M$86, "2", 'IT Risk Assessment Sheet'!$N$2:$N$86, "2")</f>
        <v>5</v>
      </c>
      <c r="E6" s="240">
        <f>COUNTIFS('IT Risk Assessment Sheet'!$M$2:$M$86, "2", 'IT Risk Assessment Sheet'!$N$2:$N$86, "3")</f>
        <v>6</v>
      </c>
      <c r="F6" s="249">
        <f>COUNTIFS('IT Risk Assessment Sheet'!$M$2:$M$86, "2", 'IT Risk Assessment Sheet'!$N$2:$N$86, "4")</f>
        <v>0</v>
      </c>
      <c r="G6" s="249">
        <f>COUNTIFS('IT Risk Assessment Sheet'!$M$2:$M$86, "2", 'IT Risk Assessment Sheet'!$N$2:$N$86, "5")</f>
        <v>0</v>
      </c>
      <c r="H6" s="43"/>
      <c r="I6" s="52"/>
      <c r="J6" s="43"/>
      <c r="K6" s="305"/>
      <c r="L6" s="46">
        <v>2</v>
      </c>
      <c r="M6" s="239">
        <f>COUNTIFS('IT Risk Assessment Sheet'!$R$2:$R$86, "2", 'IT Risk Assessment Sheet'!$S$2:$S$86, "1")</f>
        <v>11</v>
      </c>
      <c r="N6" s="239">
        <f>COUNTIFS('IT Risk Assessment Sheet'!$R$2:$R$86, "2", 'IT Risk Assessment Sheet'!$S$2:$S$86, "2")</f>
        <v>51</v>
      </c>
      <c r="O6" s="240">
        <f>COUNTIFS('IT Risk Assessment Sheet'!$R$2:$R$86, "2", 'IT Risk Assessment Sheet'!$S$2:$S$86, "3")</f>
        <v>14</v>
      </c>
      <c r="P6" s="249">
        <f>COUNTIFS('IT Risk Assessment Sheet'!$R$2:$R$86, "2", 'IT Risk Assessment Sheet'!$S$2:$S$86, "4")</f>
        <v>0</v>
      </c>
      <c r="Q6" s="249">
        <f>COUNTIFS('IT Risk Assessment Sheet'!$R$2:$R$86, "2", 'IT Risk Assessment Sheet'!$S$2:$S$86, "5")</f>
        <v>0</v>
      </c>
      <c r="R6" s="43"/>
      <c r="S6" s="51"/>
      <c r="T6" s="304" t="s">
        <v>432</v>
      </c>
      <c r="U6" s="304"/>
      <c r="V6" s="304"/>
      <c r="W6" s="43"/>
      <c r="X6" s="43"/>
      <c r="Y6" s="43"/>
    </row>
    <row r="7" spans="1:30" s="44" customFormat="1" ht="37.5" customHeight="1">
      <c r="A7" s="307"/>
      <c r="B7" s="46">
        <v>1</v>
      </c>
      <c r="C7" s="248">
        <f>COUNTIFS('IT Risk Assessment Sheet'!$M$2:$M$86, "1", 'IT Risk Assessment Sheet'!$N$2:$N$86, "1")</f>
        <v>0</v>
      </c>
      <c r="D7" s="248">
        <f>COUNTIFS('IT Risk Assessment Sheet'!$M$2:$M$86, "1", 'IT Risk Assessment Sheet'!$N$2:$N$86, "2")</f>
        <v>0</v>
      </c>
      <c r="E7" s="248">
        <f>COUNTIFS('IT Risk Assessment Sheet'!$M$2:$M$86, "1", 'IT Risk Assessment Sheet'!$N$2:$N$86, "3")</f>
        <v>0</v>
      </c>
      <c r="F7" s="248">
        <f>COUNTIFS('IT Risk Assessment Sheet'!$M$2:$M$86, "1", 'IT Risk Assessment Sheet'!$N$2:$N$86, "4")</f>
        <v>0</v>
      </c>
      <c r="G7" s="245">
        <f>COUNTIFS('IT Risk Assessment Sheet'!$M$2:$M$86, "1", 'IT Risk Assessment Sheet'!$N$2:$N$86, "5")</f>
        <v>0</v>
      </c>
      <c r="H7" s="43"/>
      <c r="I7" s="234"/>
      <c r="J7" s="43"/>
      <c r="K7" s="305"/>
      <c r="L7" s="46">
        <v>1</v>
      </c>
      <c r="M7" s="239">
        <f>COUNTIFS('IT Risk Assessment Sheet'!$R$2:$R$86, "1", 'IT Risk Assessment Sheet'!$S$2:$S$86, "1")</f>
        <v>3</v>
      </c>
      <c r="N7" s="239">
        <f>COUNTIFS('IT Risk Assessment Sheet'!$R$2:$R$86, "1", 'IT Risk Assessment Sheet'!$S$2:$S$86, "2")</f>
        <v>3</v>
      </c>
      <c r="O7" s="248">
        <f>COUNTIFS('IT Risk Assessment Sheet'!$R$2:$R$86, "1", 'IT Risk Assessment Sheet'!$S$2:$S$86, "3")</f>
        <v>0</v>
      </c>
      <c r="P7" s="248">
        <f>COUNTIFS('IT Risk Assessment Sheet'!$R$2:$R$86, "1", 'IT Risk Assessment Sheet'!$S$2:$S$86, "4")</f>
        <v>0</v>
      </c>
      <c r="Q7" s="245">
        <f>COUNTIFS('IT Risk Assessment Sheet'!$R$2:$R$86, "1", 'IT Risk Assessment Sheet'!$S$2:$S$86, "5")</f>
        <v>0</v>
      </c>
      <c r="R7" s="43"/>
      <c r="S7" s="43"/>
      <c r="T7" s="43"/>
      <c r="U7" s="43"/>
      <c r="V7" s="43"/>
      <c r="W7" s="43"/>
      <c r="X7" s="43"/>
      <c r="Y7" s="43"/>
    </row>
    <row r="8" spans="1:30" s="44" customFormat="1" ht="37.5" customHeight="1">
      <c r="A8" s="54"/>
      <c r="B8" s="46"/>
      <c r="C8" s="53">
        <v>1</v>
      </c>
      <c r="D8" s="53">
        <v>2</v>
      </c>
      <c r="E8" s="53">
        <v>3</v>
      </c>
      <c r="F8" s="53">
        <v>4</v>
      </c>
      <c r="G8" s="53">
        <v>5</v>
      </c>
      <c r="H8" s="53"/>
      <c r="I8" s="54"/>
      <c r="K8" s="54"/>
      <c r="L8" s="46"/>
      <c r="M8" s="53">
        <v>1</v>
      </c>
      <c r="N8" s="53">
        <v>2</v>
      </c>
      <c r="O8" s="53">
        <v>3</v>
      </c>
      <c r="P8" s="53">
        <v>4</v>
      </c>
      <c r="Q8" s="53">
        <v>5</v>
      </c>
      <c r="R8" s="43"/>
      <c r="S8" s="43"/>
      <c r="T8" s="43"/>
      <c r="U8" s="43"/>
      <c r="V8" s="43"/>
      <c r="W8" s="43"/>
      <c r="X8" s="43"/>
      <c r="Y8" s="43"/>
    </row>
    <row r="9" spans="1:30" s="44" customFormat="1" ht="26" customHeight="1">
      <c r="A9" s="55"/>
      <c r="B9" s="55"/>
      <c r="C9" s="56" t="s">
        <v>434</v>
      </c>
      <c r="D9" s="56"/>
      <c r="E9" s="55"/>
      <c r="F9" s="56"/>
      <c r="G9" s="57"/>
      <c r="H9" s="45"/>
      <c r="I9" s="45"/>
      <c r="J9" s="43"/>
      <c r="K9" s="45"/>
      <c r="L9" s="43"/>
      <c r="M9" s="56" t="s">
        <v>434</v>
      </c>
      <c r="N9" s="56"/>
      <c r="O9" s="55"/>
      <c r="P9" s="56"/>
      <c r="Q9" s="57"/>
      <c r="R9" s="43"/>
      <c r="S9" s="43"/>
      <c r="T9" s="43"/>
      <c r="U9" s="43"/>
      <c r="V9" s="43"/>
      <c r="W9" s="43"/>
      <c r="X9" s="43"/>
      <c r="Y9" s="43"/>
    </row>
  </sheetData>
  <mergeCells count="9">
    <mergeCell ref="T6:V6"/>
    <mergeCell ref="K3:K7"/>
    <mergeCell ref="A1:Q1"/>
    <mergeCell ref="A3:A7"/>
    <mergeCell ref="C2:G2"/>
    <mergeCell ref="M2:Q2"/>
    <mergeCell ref="S3:V3"/>
    <mergeCell ref="T4:V4"/>
    <mergeCell ref="T5:V5"/>
  </mergeCells>
  <conditionalFormatting sqref="S4">
    <cfRule type="cellIs" dxfId="35" priority="1" stopIfTrue="1" operator="equal">
      <formula>0</formula>
    </cfRule>
  </conditionalFormatting>
  <conditionalFormatting sqref="S5">
    <cfRule type="cellIs" dxfId="34" priority="3" stopIfTrue="1" operator="equal">
      <formula>0</formula>
    </cfRule>
  </conditionalFormatting>
  <conditionalFormatting sqref="S6">
    <cfRule type="cellIs" dxfId="33" priority="2" stopIfTrue="1" operator="equal">
      <formula>0</formula>
    </cfRule>
  </conditionalFormatting>
  <pageMargins left="0.7" right="0.7" top="0.75" bottom="0.75" header="0.3" footer="0.3"/>
  <pageSetup paperSize="9" scale="60" orientation="landscape" r:id="rId1"/>
  <headerFooter>
    <oddFooter>&amp;L&amp;F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U131"/>
  <sheetViews>
    <sheetView showGridLines="0" tabSelected="1" view="pageBreakPreview" zoomScale="86" zoomScaleNormal="64" zoomScaleSheetLayoutView="86" workbookViewId="0">
      <pane xSplit="3" ySplit="1" topLeftCell="L58" activePane="bottomRight" state="frozen"/>
      <selection pane="topRight" activeCell="D1" sqref="D1"/>
      <selection pane="bottomLeft" activeCell="A2" sqref="A2"/>
      <selection pane="bottomRight" activeCell="B24" sqref="B24:B25"/>
    </sheetView>
  </sheetViews>
  <sheetFormatPr defaultRowHeight="14.5"/>
  <cols>
    <col min="1" max="1" width="7.54296875" style="79" customWidth="1"/>
    <col min="2" max="2" width="20.7265625" style="79" customWidth="1"/>
    <col min="3" max="3" width="13.54296875" style="79" customWidth="1"/>
    <col min="4" max="4" width="18.90625" style="79" customWidth="1"/>
    <col min="5" max="5" width="13.453125" style="79" customWidth="1"/>
    <col min="6" max="6" width="19.1796875" style="79" customWidth="1"/>
    <col min="7" max="9" width="5" style="79" customWidth="1"/>
    <col min="10" max="10" width="8.453125" style="79" customWidth="1"/>
    <col min="11" max="11" width="25.1796875" style="79" customWidth="1"/>
    <col min="12" max="12" width="19.1796875" style="79" customWidth="1"/>
    <col min="13" max="13" width="11.90625" style="79" customWidth="1"/>
    <col min="14" max="14" width="8.26953125" style="79" customWidth="1"/>
    <col min="15" max="15" width="12.7265625" style="79" customWidth="1"/>
    <col min="16" max="16" width="24.453125" customWidth="1"/>
    <col min="17" max="17" width="13.26953125" customWidth="1"/>
    <col min="18" max="18" width="11.36328125" customWidth="1"/>
    <col min="19" max="19" width="8.36328125" customWidth="1"/>
    <col min="20" max="20" width="11.54296875" customWidth="1"/>
    <col min="21" max="21" width="10.81640625" customWidth="1"/>
    <col min="22" max="22" width="15.453125" hidden="1" customWidth="1"/>
    <col min="23" max="73" width="9.1796875"/>
    <col min="239" max="239" width="30.54296875" bestFit="1" customWidth="1"/>
    <col min="240" max="240" width="30.54296875" customWidth="1"/>
    <col min="241" max="241" width="22.54296875" bestFit="1" customWidth="1"/>
    <col min="242" max="242" width="20" bestFit="1" customWidth="1"/>
    <col min="243" max="243" width="16.453125" customWidth="1"/>
    <col min="247" max="247" width="15.26953125" bestFit="1" customWidth="1"/>
    <col min="248" max="248" width="46.7265625" bestFit="1" customWidth="1"/>
    <col min="249" max="249" width="41" bestFit="1" customWidth="1"/>
    <col min="250" max="250" width="13.81640625" bestFit="1" customWidth="1"/>
    <col min="251" max="251" width="9.26953125" bestFit="1" customWidth="1"/>
    <col min="252" max="252" width="17.453125" bestFit="1" customWidth="1"/>
    <col min="253" max="253" width="60.7265625" bestFit="1" customWidth="1"/>
    <col min="254" max="254" width="13.81640625" bestFit="1" customWidth="1"/>
    <col min="255" max="255" width="9.26953125" bestFit="1" customWidth="1"/>
    <col min="256" max="256" width="17.1796875" bestFit="1" customWidth="1"/>
    <col min="257" max="257" width="23.81640625" bestFit="1" customWidth="1"/>
    <col min="258" max="258" width="7.1796875" bestFit="1" customWidth="1"/>
    <col min="259" max="259" width="9.26953125" bestFit="1" customWidth="1"/>
    <col min="260" max="260" width="11" bestFit="1" customWidth="1"/>
    <col min="261" max="261" width="20.26953125" bestFit="1" customWidth="1"/>
    <col min="495" max="495" width="30.54296875" bestFit="1" customWidth="1"/>
    <col min="496" max="496" width="30.54296875" customWidth="1"/>
    <col min="497" max="497" width="22.54296875" bestFit="1" customWidth="1"/>
    <col min="498" max="498" width="20" bestFit="1" customWidth="1"/>
    <col min="499" max="499" width="16.453125" customWidth="1"/>
    <col min="503" max="503" width="15.26953125" bestFit="1" customWidth="1"/>
    <col min="504" max="504" width="46.7265625" bestFit="1" customWidth="1"/>
    <col min="505" max="505" width="41" bestFit="1" customWidth="1"/>
    <col min="506" max="506" width="13.81640625" bestFit="1" customWidth="1"/>
    <col min="507" max="507" width="9.26953125" bestFit="1" customWidth="1"/>
    <col min="508" max="508" width="17.453125" bestFit="1" customWidth="1"/>
    <col min="509" max="509" width="60.7265625" bestFit="1" customWidth="1"/>
    <col min="510" max="510" width="13.81640625" bestFit="1" customWidth="1"/>
    <col min="511" max="511" width="9.26953125" bestFit="1" customWidth="1"/>
    <col min="512" max="512" width="17.1796875" bestFit="1" customWidth="1"/>
    <col min="513" max="513" width="23.81640625" bestFit="1" customWidth="1"/>
    <col min="514" max="514" width="7.1796875" bestFit="1" customWidth="1"/>
    <col min="515" max="515" width="9.26953125" bestFit="1" customWidth="1"/>
    <col min="516" max="516" width="11" bestFit="1" customWidth="1"/>
    <col min="517" max="517" width="20.26953125" bestFit="1" customWidth="1"/>
    <col min="751" max="751" width="30.54296875" bestFit="1" customWidth="1"/>
    <col min="752" max="752" width="30.54296875" customWidth="1"/>
    <col min="753" max="753" width="22.54296875" bestFit="1" customWidth="1"/>
    <col min="754" max="754" width="20" bestFit="1" customWidth="1"/>
    <col min="755" max="755" width="16.453125" customWidth="1"/>
    <col min="759" max="759" width="15.26953125" bestFit="1" customWidth="1"/>
    <col min="760" max="760" width="46.7265625" bestFit="1" customWidth="1"/>
    <col min="761" max="761" width="41" bestFit="1" customWidth="1"/>
    <col min="762" max="762" width="13.81640625" bestFit="1" customWidth="1"/>
    <col min="763" max="763" width="9.26953125" bestFit="1" customWidth="1"/>
    <col min="764" max="764" width="17.453125" bestFit="1" customWidth="1"/>
    <col min="765" max="765" width="60.7265625" bestFit="1" customWidth="1"/>
    <col min="766" max="766" width="13.81640625" bestFit="1" customWidth="1"/>
    <col min="767" max="767" width="9.26953125" bestFit="1" customWidth="1"/>
    <col min="768" max="768" width="17.1796875" bestFit="1" customWidth="1"/>
    <col min="769" max="769" width="23.81640625" bestFit="1" customWidth="1"/>
    <col min="770" max="770" width="7.1796875" bestFit="1" customWidth="1"/>
    <col min="771" max="771" width="9.26953125" bestFit="1" customWidth="1"/>
    <col min="772" max="772" width="11" bestFit="1" customWidth="1"/>
    <col min="773" max="773" width="20.26953125" bestFit="1" customWidth="1"/>
    <col min="1007" max="1007" width="30.54296875" bestFit="1" customWidth="1"/>
    <col min="1008" max="1008" width="30.54296875" customWidth="1"/>
    <col min="1009" max="1009" width="22.54296875" bestFit="1" customWidth="1"/>
    <col min="1010" max="1010" width="20" bestFit="1" customWidth="1"/>
    <col min="1011" max="1011" width="16.453125" customWidth="1"/>
    <col min="1015" max="1015" width="15.26953125" bestFit="1" customWidth="1"/>
    <col min="1016" max="1016" width="46.7265625" bestFit="1" customWidth="1"/>
    <col min="1017" max="1017" width="41" bestFit="1" customWidth="1"/>
    <col min="1018" max="1018" width="13.81640625" bestFit="1" customWidth="1"/>
    <col min="1019" max="1019" width="9.26953125" bestFit="1" customWidth="1"/>
    <col min="1020" max="1020" width="17.453125" bestFit="1" customWidth="1"/>
    <col min="1021" max="1021" width="60.7265625" bestFit="1" customWidth="1"/>
    <col min="1022" max="1022" width="13.81640625" bestFit="1" customWidth="1"/>
    <col min="1023" max="1023" width="9.26953125" bestFit="1" customWidth="1"/>
    <col min="1024" max="1024" width="17.1796875" bestFit="1" customWidth="1"/>
    <col min="1025" max="1025" width="23.81640625" bestFit="1" customWidth="1"/>
    <col min="1026" max="1026" width="7.1796875" bestFit="1" customWidth="1"/>
    <col min="1027" max="1027" width="9.26953125" bestFit="1" customWidth="1"/>
    <col min="1028" max="1028" width="11" bestFit="1" customWidth="1"/>
    <col min="1029" max="1029" width="20.26953125" bestFit="1" customWidth="1"/>
    <col min="1263" max="1263" width="30.54296875" bestFit="1" customWidth="1"/>
    <col min="1264" max="1264" width="30.54296875" customWidth="1"/>
    <col min="1265" max="1265" width="22.54296875" bestFit="1" customWidth="1"/>
    <col min="1266" max="1266" width="20" bestFit="1" customWidth="1"/>
    <col min="1267" max="1267" width="16.453125" customWidth="1"/>
    <col min="1271" max="1271" width="15.26953125" bestFit="1" customWidth="1"/>
    <col min="1272" max="1272" width="46.7265625" bestFit="1" customWidth="1"/>
    <col min="1273" max="1273" width="41" bestFit="1" customWidth="1"/>
    <col min="1274" max="1274" width="13.81640625" bestFit="1" customWidth="1"/>
    <col min="1275" max="1275" width="9.26953125" bestFit="1" customWidth="1"/>
    <col min="1276" max="1276" width="17.453125" bestFit="1" customWidth="1"/>
    <col min="1277" max="1277" width="60.7265625" bestFit="1" customWidth="1"/>
    <col min="1278" max="1278" width="13.81640625" bestFit="1" customWidth="1"/>
    <col min="1279" max="1279" width="9.26953125" bestFit="1" customWidth="1"/>
    <col min="1280" max="1280" width="17.1796875" bestFit="1" customWidth="1"/>
    <col min="1281" max="1281" width="23.81640625" bestFit="1" customWidth="1"/>
    <col min="1282" max="1282" width="7.1796875" bestFit="1" customWidth="1"/>
    <col min="1283" max="1283" width="9.26953125" bestFit="1" customWidth="1"/>
    <col min="1284" max="1284" width="11" bestFit="1" customWidth="1"/>
    <col min="1285" max="1285" width="20.26953125" bestFit="1" customWidth="1"/>
    <col min="1519" max="1519" width="30.54296875" bestFit="1" customWidth="1"/>
    <col min="1520" max="1520" width="30.54296875" customWidth="1"/>
    <col min="1521" max="1521" width="22.54296875" bestFit="1" customWidth="1"/>
    <col min="1522" max="1522" width="20" bestFit="1" customWidth="1"/>
    <col min="1523" max="1523" width="16.453125" customWidth="1"/>
    <col min="1527" max="1527" width="15.26953125" bestFit="1" customWidth="1"/>
    <col min="1528" max="1528" width="46.7265625" bestFit="1" customWidth="1"/>
    <col min="1529" max="1529" width="41" bestFit="1" customWidth="1"/>
    <col min="1530" max="1530" width="13.81640625" bestFit="1" customWidth="1"/>
    <col min="1531" max="1531" width="9.26953125" bestFit="1" customWidth="1"/>
    <col min="1532" max="1532" width="17.453125" bestFit="1" customWidth="1"/>
    <col min="1533" max="1533" width="60.7265625" bestFit="1" customWidth="1"/>
    <col min="1534" max="1534" width="13.81640625" bestFit="1" customWidth="1"/>
    <col min="1535" max="1535" width="9.26953125" bestFit="1" customWidth="1"/>
    <col min="1536" max="1536" width="17.1796875" bestFit="1" customWidth="1"/>
    <col min="1537" max="1537" width="23.81640625" bestFit="1" customWidth="1"/>
    <col min="1538" max="1538" width="7.1796875" bestFit="1" customWidth="1"/>
    <col min="1539" max="1539" width="9.26953125" bestFit="1" customWidth="1"/>
    <col min="1540" max="1540" width="11" bestFit="1" customWidth="1"/>
    <col min="1541" max="1541" width="20.26953125" bestFit="1" customWidth="1"/>
    <col min="1775" max="1775" width="30.54296875" bestFit="1" customWidth="1"/>
    <col min="1776" max="1776" width="30.54296875" customWidth="1"/>
    <col min="1777" max="1777" width="22.54296875" bestFit="1" customWidth="1"/>
    <col min="1778" max="1778" width="20" bestFit="1" customWidth="1"/>
    <col min="1779" max="1779" width="16.453125" customWidth="1"/>
    <col min="1783" max="1783" width="15.26953125" bestFit="1" customWidth="1"/>
    <col min="1784" max="1784" width="46.7265625" bestFit="1" customWidth="1"/>
    <col min="1785" max="1785" width="41" bestFit="1" customWidth="1"/>
    <col min="1786" max="1786" width="13.81640625" bestFit="1" customWidth="1"/>
    <col min="1787" max="1787" width="9.26953125" bestFit="1" customWidth="1"/>
    <col min="1788" max="1788" width="17.453125" bestFit="1" customWidth="1"/>
    <col min="1789" max="1789" width="60.7265625" bestFit="1" customWidth="1"/>
    <col min="1790" max="1790" width="13.81640625" bestFit="1" customWidth="1"/>
    <col min="1791" max="1791" width="9.26953125" bestFit="1" customWidth="1"/>
    <col min="1792" max="1792" width="17.1796875" bestFit="1" customWidth="1"/>
    <col min="1793" max="1793" width="23.81640625" bestFit="1" customWidth="1"/>
    <col min="1794" max="1794" width="7.1796875" bestFit="1" customWidth="1"/>
    <col min="1795" max="1795" width="9.26953125" bestFit="1" customWidth="1"/>
    <col min="1796" max="1796" width="11" bestFit="1" customWidth="1"/>
    <col min="1797" max="1797" width="20.26953125" bestFit="1" customWidth="1"/>
    <col min="2031" max="2031" width="30.54296875" bestFit="1" customWidth="1"/>
    <col min="2032" max="2032" width="30.54296875" customWidth="1"/>
    <col min="2033" max="2033" width="22.54296875" bestFit="1" customWidth="1"/>
    <col min="2034" max="2034" width="20" bestFit="1" customWidth="1"/>
    <col min="2035" max="2035" width="16.453125" customWidth="1"/>
    <col min="2039" max="2039" width="15.26953125" bestFit="1" customWidth="1"/>
    <col min="2040" max="2040" width="46.7265625" bestFit="1" customWidth="1"/>
    <col min="2041" max="2041" width="41" bestFit="1" customWidth="1"/>
    <col min="2042" max="2042" width="13.81640625" bestFit="1" customWidth="1"/>
    <col min="2043" max="2043" width="9.26953125" bestFit="1" customWidth="1"/>
    <col min="2044" max="2044" width="17.453125" bestFit="1" customWidth="1"/>
    <col min="2045" max="2045" width="60.7265625" bestFit="1" customWidth="1"/>
    <col min="2046" max="2046" width="13.81640625" bestFit="1" customWidth="1"/>
    <col min="2047" max="2047" width="9.26953125" bestFit="1" customWidth="1"/>
    <col min="2048" max="2048" width="17.1796875" bestFit="1" customWidth="1"/>
    <col min="2049" max="2049" width="23.81640625" bestFit="1" customWidth="1"/>
    <col min="2050" max="2050" width="7.1796875" bestFit="1" customWidth="1"/>
    <col min="2051" max="2051" width="9.26953125" bestFit="1" customWidth="1"/>
    <col min="2052" max="2052" width="11" bestFit="1" customWidth="1"/>
    <col min="2053" max="2053" width="20.26953125" bestFit="1" customWidth="1"/>
    <col min="2287" max="2287" width="30.54296875" bestFit="1" customWidth="1"/>
    <col min="2288" max="2288" width="30.54296875" customWidth="1"/>
    <col min="2289" max="2289" width="22.54296875" bestFit="1" customWidth="1"/>
    <col min="2290" max="2290" width="20" bestFit="1" customWidth="1"/>
    <col min="2291" max="2291" width="16.453125" customWidth="1"/>
    <col min="2295" max="2295" width="15.26953125" bestFit="1" customWidth="1"/>
    <col min="2296" max="2296" width="46.7265625" bestFit="1" customWidth="1"/>
    <col min="2297" max="2297" width="41" bestFit="1" customWidth="1"/>
    <col min="2298" max="2298" width="13.81640625" bestFit="1" customWidth="1"/>
    <col min="2299" max="2299" width="9.26953125" bestFit="1" customWidth="1"/>
    <col min="2300" max="2300" width="17.453125" bestFit="1" customWidth="1"/>
    <col min="2301" max="2301" width="60.7265625" bestFit="1" customWidth="1"/>
    <col min="2302" max="2302" width="13.81640625" bestFit="1" customWidth="1"/>
    <col min="2303" max="2303" width="9.26953125" bestFit="1" customWidth="1"/>
    <col min="2304" max="2304" width="17.1796875" bestFit="1" customWidth="1"/>
    <col min="2305" max="2305" width="23.81640625" bestFit="1" customWidth="1"/>
    <col min="2306" max="2306" width="7.1796875" bestFit="1" customWidth="1"/>
    <col min="2307" max="2307" width="9.26953125" bestFit="1" customWidth="1"/>
    <col min="2308" max="2308" width="11" bestFit="1" customWidth="1"/>
    <col min="2309" max="2309" width="20.26953125" bestFit="1" customWidth="1"/>
    <col min="2543" max="2543" width="30.54296875" bestFit="1" customWidth="1"/>
    <col min="2544" max="2544" width="30.54296875" customWidth="1"/>
    <col min="2545" max="2545" width="22.54296875" bestFit="1" customWidth="1"/>
    <col min="2546" max="2546" width="20" bestFit="1" customWidth="1"/>
    <col min="2547" max="2547" width="16.453125" customWidth="1"/>
    <col min="2551" max="2551" width="15.26953125" bestFit="1" customWidth="1"/>
    <col min="2552" max="2552" width="46.7265625" bestFit="1" customWidth="1"/>
    <col min="2553" max="2553" width="41" bestFit="1" customWidth="1"/>
    <col min="2554" max="2554" width="13.81640625" bestFit="1" customWidth="1"/>
    <col min="2555" max="2555" width="9.26953125" bestFit="1" customWidth="1"/>
    <col min="2556" max="2556" width="17.453125" bestFit="1" customWidth="1"/>
    <col min="2557" max="2557" width="60.7265625" bestFit="1" customWidth="1"/>
    <col min="2558" max="2558" width="13.81640625" bestFit="1" customWidth="1"/>
    <col min="2559" max="2559" width="9.26953125" bestFit="1" customWidth="1"/>
    <col min="2560" max="2560" width="17.1796875" bestFit="1" customWidth="1"/>
    <col min="2561" max="2561" width="23.81640625" bestFit="1" customWidth="1"/>
    <col min="2562" max="2562" width="7.1796875" bestFit="1" customWidth="1"/>
    <col min="2563" max="2563" width="9.26953125" bestFit="1" customWidth="1"/>
    <col min="2564" max="2564" width="11" bestFit="1" customWidth="1"/>
    <col min="2565" max="2565" width="20.26953125" bestFit="1" customWidth="1"/>
    <col min="2799" max="2799" width="30.54296875" bestFit="1" customWidth="1"/>
    <col min="2800" max="2800" width="30.54296875" customWidth="1"/>
    <col min="2801" max="2801" width="22.54296875" bestFit="1" customWidth="1"/>
    <col min="2802" max="2802" width="20" bestFit="1" customWidth="1"/>
    <col min="2803" max="2803" width="16.453125" customWidth="1"/>
    <col min="2807" max="2807" width="15.26953125" bestFit="1" customWidth="1"/>
    <col min="2808" max="2808" width="46.7265625" bestFit="1" customWidth="1"/>
    <col min="2809" max="2809" width="41" bestFit="1" customWidth="1"/>
    <col min="2810" max="2810" width="13.81640625" bestFit="1" customWidth="1"/>
    <col min="2811" max="2811" width="9.26953125" bestFit="1" customWidth="1"/>
    <col min="2812" max="2812" width="17.453125" bestFit="1" customWidth="1"/>
    <col min="2813" max="2813" width="60.7265625" bestFit="1" customWidth="1"/>
    <col min="2814" max="2814" width="13.81640625" bestFit="1" customWidth="1"/>
    <col min="2815" max="2815" width="9.26953125" bestFit="1" customWidth="1"/>
    <col min="2816" max="2816" width="17.1796875" bestFit="1" customWidth="1"/>
    <col min="2817" max="2817" width="23.81640625" bestFit="1" customWidth="1"/>
    <col min="2818" max="2818" width="7.1796875" bestFit="1" customWidth="1"/>
    <col min="2819" max="2819" width="9.26953125" bestFit="1" customWidth="1"/>
    <col min="2820" max="2820" width="11" bestFit="1" customWidth="1"/>
    <col min="2821" max="2821" width="20.26953125" bestFit="1" customWidth="1"/>
    <col min="3055" max="3055" width="30.54296875" bestFit="1" customWidth="1"/>
    <col min="3056" max="3056" width="30.54296875" customWidth="1"/>
    <col min="3057" max="3057" width="22.54296875" bestFit="1" customWidth="1"/>
    <col min="3058" max="3058" width="20" bestFit="1" customWidth="1"/>
    <col min="3059" max="3059" width="16.453125" customWidth="1"/>
    <col min="3063" max="3063" width="15.26953125" bestFit="1" customWidth="1"/>
    <col min="3064" max="3064" width="46.7265625" bestFit="1" customWidth="1"/>
    <col min="3065" max="3065" width="41" bestFit="1" customWidth="1"/>
    <col min="3066" max="3066" width="13.81640625" bestFit="1" customWidth="1"/>
    <col min="3067" max="3067" width="9.26953125" bestFit="1" customWidth="1"/>
    <col min="3068" max="3068" width="17.453125" bestFit="1" customWidth="1"/>
    <col min="3069" max="3069" width="60.7265625" bestFit="1" customWidth="1"/>
    <col min="3070" max="3070" width="13.81640625" bestFit="1" customWidth="1"/>
    <col min="3071" max="3071" width="9.26953125" bestFit="1" customWidth="1"/>
    <col min="3072" max="3072" width="17.1796875" bestFit="1" customWidth="1"/>
    <col min="3073" max="3073" width="23.81640625" bestFit="1" customWidth="1"/>
    <col min="3074" max="3074" width="7.1796875" bestFit="1" customWidth="1"/>
    <col min="3075" max="3075" width="9.26953125" bestFit="1" customWidth="1"/>
    <col min="3076" max="3076" width="11" bestFit="1" customWidth="1"/>
    <col min="3077" max="3077" width="20.26953125" bestFit="1" customWidth="1"/>
    <col min="3311" max="3311" width="30.54296875" bestFit="1" customWidth="1"/>
    <col min="3312" max="3312" width="30.54296875" customWidth="1"/>
    <col min="3313" max="3313" width="22.54296875" bestFit="1" customWidth="1"/>
    <col min="3314" max="3314" width="20" bestFit="1" customWidth="1"/>
    <col min="3315" max="3315" width="16.453125" customWidth="1"/>
    <col min="3319" max="3319" width="15.26953125" bestFit="1" customWidth="1"/>
    <col min="3320" max="3320" width="46.7265625" bestFit="1" customWidth="1"/>
    <col min="3321" max="3321" width="41" bestFit="1" customWidth="1"/>
    <col min="3322" max="3322" width="13.81640625" bestFit="1" customWidth="1"/>
    <col min="3323" max="3323" width="9.26953125" bestFit="1" customWidth="1"/>
    <col min="3324" max="3324" width="17.453125" bestFit="1" customWidth="1"/>
    <col min="3325" max="3325" width="60.7265625" bestFit="1" customWidth="1"/>
    <col min="3326" max="3326" width="13.81640625" bestFit="1" customWidth="1"/>
    <col min="3327" max="3327" width="9.26953125" bestFit="1" customWidth="1"/>
    <col min="3328" max="3328" width="17.1796875" bestFit="1" customWidth="1"/>
    <col min="3329" max="3329" width="23.81640625" bestFit="1" customWidth="1"/>
    <col min="3330" max="3330" width="7.1796875" bestFit="1" customWidth="1"/>
    <col min="3331" max="3331" width="9.26953125" bestFit="1" customWidth="1"/>
    <col min="3332" max="3332" width="11" bestFit="1" customWidth="1"/>
    <col min="3333" max="3333" width="20.26953125" bestFit="1" customWidth="1"/>
    <col min="3567" max="3567" width="30.54296875" bestFit="1" customWidth="1"/>
    <col min="3568" max="3568" width="30.54296875" customWidth="1"/>
    <col min="3569" max="3569" width="22.54296875" bestFit="1" customWidth="1"/>
    <col min="3570" max="3570" width="20" bestFit="1" customWidth="1"/>
    <col min="3571" max="3571" width="16.453125" customWidth="1"/>
    <col min="3575" max="3575" width="15.26953125" bestFit="1" customWidth="1"/>
    <col min="3576" max="3576" width="46.7265625" bestFit="1" customWidth="1"/>
    <col min="3577" max="3577" width="41" bestFit="1" customWidth="1"/>
    <col min="3578" max="3578" width="13.81640625" bestFit="1" customWidth="1"/>
    <col min="3579" max="3579" width="9.26953125" bestFit="1" customWidth="1"/>
    <col min="3580" max="3580" width="17.453125" bestFit="1" customWidth="1"/>
    <col min="3581" max="3581" width="60.7265625" bestFit="1" customWidth="1"/>
    <col min="3582" max="3582" width="13.81640625" bestFit="1" customWidth="1"/>
    <col min="3583" max="3583" width="9.26953125" bestFit="1" customWidth="1"/>
    <col min="3584" max="3584" width="17.1796875" bestFit="1" customWidth="1"/>
    <col min="3585" max="3585" width="23.81640625" bestFit="1" customWidth="1"/>
    <col min="3586" max="3586" width="7.1796875" bestFit="1" customWidth="1"/>
    <col min="3587" max="3587" width="9.26953125" bestFit="1" customWidth="1"/>
    <col min="3588" max="3588" width="11" bestFit="1" customWidth="1"/>
    <col min="3589" max="3589" width="20.26953125" bestFit="1" customWidth="1"/>
    <col min="3823" max="3823" width="30.54296875" bestFit="1" customWidth="1"/>
    <col min="3824" max="3824" width="30.54296875" customWidth="1"/>
    <col min="3825" max="3825" width="22.54296875" bestFit="1" customWidth="1"/>
    <col min="3826" max="3826" width="20" bestFit="1" customWidth="1"/>
    <col min="3827" max="3827" width="16.453125" customWidth="1"/>
    <col min="3831" max="3831" width="15.26953125" bestFit="1" customWidth="1"/>
    <col min="3832" max="3832" width="46.7265625" bestFit="1" customWidth="1"/>
    <col min="3833" max="3833" width="41" bestFit="1" customWidth="1"/>
    <col min="3834" max="3834" width="13.81640625" bestFit="1" customWidth="1"/>
    <col min="3835" max="3835" width="9.26953125" bestFit="1" customWidth="1"/>
    <col min="3836" max="3836" width="17.453125" bestFit="1" customWidth="1"/>
    <col min="3837" max="3837" width="60.7265625" bestFit="1" customWidth="1"/>
    <col min="3838" max="3838" width="13.81640625" bestFit="1" customWidth="1"/>
    <col min="3839" max="3839" width="9.26953125" bestFit="1" customWidth="1"/>
    <col min="3840" max="3840" width="17.1796875" bestFit="1" customWidth="1"/>
    <col min="3841" max="3841" width="23.81640625" bestFit="1" customWidth="1"/>
    <col min="3842" max="3842" width="7.1796875" bestFit="1" customWidth="1"/>
    <col min="3843" max="3843" width="9.26953125" bestFit="1" customWidth="1"/>
    <col min="3844" max="3844" width="11" bestFit="1" customWidth="1"/>
    <col min="3845" max="3845" width="20.26953125" bestFit="1" customWidth="1"/>
    <col min="4079" max="4079" width="30.54296875" bestFit="1" customWidth="1"/>
    <col min="4080" max="4080" width="30.54296875" customWidth="1"/>
    <col min="4081" max="4081" width="22.54296875" bestFit="1" customWidth="1"/>
    <col min="4082" max="4082" width="20" bestFit="1" customWidth="1"/>
    <col min="4083" max="4083" width="16.453125" customWidth="1"/>
    <col min="4087" max="4087" width="15.26953125" bestFit="1" customWidth="1"/>
    <col min="4088" max="4088" width="46.7265625" bestFit="1" customWidth="1"/>
    <col min="4089" max="4089" width="41" bestFit="1" customWidth="1"/>
    <col min="4090" max="4090" width="13.81640625" bestFit="1" customWidth="1"/>
    <col min="4091" max="4091" width="9.26953125" bestFit="1" customWidth="1"/>
    <col min="4092" max="4092" width="17.453125" bestFit="1" customWidth="1"/>
    <col min="4093" max="4093" width="60.7265625" bestFit="1" customWidth="1"/>
    <col min="4094" max="4094" width="13.81640625" bestFit="1" customWidth="1"/>
    <col min="4095" max="4095" width="9.26953125" bestFit="1" customWidth="1"/>
    <col min="4096" max="4096" width="17.1796875" bestFit="1" customWidth="1"/>
    <col min="4097" max="4097" width="23.81640625" bestFit="1" customWidth="1"/>
    <col min="4098" max="4098" width="7.1796875" bestFit="1" customWidth="1"/>
    <col min="4099" max="4099" width="9.26953125" bestFit="1" customWidth="1"/>
    <col min="4100" max="4100" width="11" bestFit="1" customWidth="1"/>
    <col min="4101" max="4101" width="20.26953125" bestFit="1" customWidth="1"/>
    <col min="4335" max="4335" width="30.54296875" bestFit="1" customWidth="1"/>
    <col min="4336" max="4336" width="30.54296875" customWidth="1"/>
    <col min="4337" max="4337" width="22.54296875" bestFit="1" customWidth="1"/>
    <col min="4338" max="4338" width="20" bestFit="1" customWidth="1"/>
    <col min="4339" max="4339" width="16.453125" customWidth="1"/>
    <col min="4343" max="4343" width="15.26953125" bestFit="1" customWidth="1"/>
    <col min="4344" max="4344" width="46.7265625" bestFit="1" customWidth="1"/>
    <col min="4345" max="4345" width="41" bestFit="1" customWidth="1"/>
    <col min="4346" max="4346" width="13.81640625" bestFit="1" customWidth="1"/>
    <col min="4347" max="4347" width="9.26953125" bestFit="1" customWidth="1"/>
    <col min="4348" max="4348" width="17.453125" bestFit="1" customWidth="1"/>
    <col min="4349" max="4349" width="60.7265625" bestFit="1" customWidth="1"/>
    <col min="4350" max="4350" width="13.81640625" bestFit="1" customWidth="1"/>
    <col min="4351" max="4351" width="9.26953125" bestFit="1" customWidth="1"/>
    <col min="4352" max="4352" width="17.1796875" bestFit="1" customWidth="1"/>
    <col min="4353" max="4353" width="23.81640625" bestFit="1" customWidth="1"/>
    <col min="4354" max="4354" width="7.1796875" bestFit="1" customWidth="1"/>
    <col min="4355" max="4355" width="9.26953125" bestFit="1" customWidth="1"/>
    <col min="4356" max="4356" width="11" bestFit="1" customWidth="1"/>
    <col min="4357" max="4357" width="20.26953125" bestFit="1" customWidth="1"/>
    <col min="4591" max="4591" width="30.54296875" bestFit="1" customWidth="1"/>
    <col min="4592" max="4592" width="30.54296875" customWidth="1"/>
    <col min="4593" max="4593" width="22.54296875" bestFit="1" customWidth="1"/>
    <col min="4594" max="4594" width="20" bestFit="1" customWidth="1"/>
    <col min="4595" max="4595" width="16.453125" customWidth="1"/>
    <col min="4599" max="4599" width="15.26953125" bestFit="1" customWidth="1"/>
    <col min="4600" max="4600" width="46.7265625" bestFit="1" customWidth="1"/>
    <col min="4601" max="4601" width="41" bestFit="1" customWidth="1"/>
    <col min="4602" max="4602" width="13.81640625" bestFit="1" customWidth="1"/>
    <col min="4603" max="4603" width="9.26953125" bestFit="1" customWidth="1"/>
    <col min="4604" max="4604" width="17.453125" bestFit="1" customWidth="1"/>
    <col min="4605" max="4605" width="60.7265625" bestFit="1" customWidth="1"/>
    <col min="4606" max="4606" width="13.81640625" bestFit="1" customWidth="1"/>
    <col min="4607" max="4607" width="9.26953125" bestFit="1" customWidth="1"/>
    <col min="4608" max="4608" width="17.1796875" bestFit="1" customWidth="1"/>
    <col min="4609" max="4609" width="23.81640625" bestFit="1" customWidth="1"/>
    <col min="4610" max="4610" width="7.1796875" bestFit="1" customWidth="1"/>
    <col min="4611" max="4611" width="9.26953125" bestFit="1" customWidth="1"/>
    <col min="4612" max="4612" width="11" bestFit="1" customWidth="1"/>
    <col min="4613" max="4613" width="20.26953125" bestFit="1" customWidth="1"/>
    <col min="4847" max="4847" width="30.54296875" bestFit="1" customWidth="1"/>
    <col min="4848" max="4848" width="30.54296875" customWidth="1"/>
    <col min="4849" max="4849" width="22.54296875" bestFit="1" customWidth="1"/>
    <col min="4850" max="4850" width="20" bestFit="1" customWidth="1"/>
    <col min="4851" max="4851" width="16.453125" customWidth="1"/>
    <col min="4855" max="4855" width="15.26953125" bestFit="1" customWidth="1"/>
    <col min="4856" max="4856" width="46.7265625" bestFit="1" customWidth="1"/>
    <col min="4857" max="4857" width="41" bestFit="1" customWidth="1"/>
    <col min="4858" max="4858" width="13.81640625" bestFit="1" customWidth="1"/>
    <col min="4859" max="4859" width="9.26953125" bestFit="1" customWidth="1"/>
    <col min="4860" max="4860" width="17.453125" bestFit="1" customWidth="1"/>
    <col min="4861" max="4861" width="60.7265625" bestFit="1" customWidth="1"/>
    <col min="4862" max="4862" width="13.81640625" bestFit="1" customWidth="1"/>
    <col min="4863" max="4863" width="9.26953125" bestFit="1" customWidth="1"/>
    <col min="4864" max="4864" width="17.1796875" bestFit="1" customWidth="1"/>
    <col min="4865" max="4865" width="23.81640625" bestFit="1" customWidth="1"/>
    <col min="4866" max="4866" width="7.1796875" bestFit="1" customWidth="1"/>
    <col min="4867" max="4867" width="9.26953125" bestFit="1" customWidth="1"/>
    <col min="4868" max="4868" width="11" bestFit="1" customWidth="1"/>
    <col min="4869" max="4869" width="20.26953125" bestFit="1" customWidth="1"/>
    <col min="5103" max="5103" width="30.54296875" bestFit="1" customWidth="1"/>
    <col min="5104" max="5104" width="30.54296875" customWidth="1"/>
    <col min="5105" max="5105" width="22.54296875" bestFit="1" customWidth="1"/>
    <col min="5106" max="5106" width="20" bestFit="1" customWidth="1"/>
    <col min="5107" max="5107" width="16.453125" customWidth="1"/>
    <col min="5111" max="5111" width="15.26953125" bestFit="1" customWidth="1"/>
    <col min="5112" max="5112" width="46.7265625" bestFit="1" customWidth="1"/>
    <col min="5113" max="5113" width="41" bestFit="1" customWidth="1"/>
    <col min="5114" max="5114" width="13.81640625" bestFit="1" customWidth="1"/>
    <col min="5115" max="5115" width="9.26953125" bestFit="1" customWidth="1"/>
    <col min="5116" max="5116" width="17.453125" bestFit="1" customWidth="1"/>
    <col min="5117" max="5117" width="60.7265625" bestFit="1" customWidth="1"/>
    <col min="5118" max="5118" width="13.81640625" bestFit="1" customWidth="1"/>
    <col min="5119" max="5119" width="9.26953125" bestFit="1" customWidth="1"/>
    <col min="5120" max="5120" width="17.1796875" bestFit="1" customWidth="1"/>
    <col min="5121" max="5121" width="23.81640625" bestFit="1" customWidth="1"/>
    <col min="5122" max="5122" width="7.1796875" bestFit="1" customWidth="1"/>
    <col min="5123" max="5123" width="9.26953125" bestFit="1" customWidth="1"/>
    <col min="5124" max="5124" width="11" bestFit="1" customWidth="1"/>
    <col min="5125" max="5125" width="20.26953125" bestFit="1" customWidth="1"/>
    <col min="5359" max="5359" width="30.54296875" bestFit="1" customWidth="1"/>
    <col min="5360" max="5360" width="30.54296875" customWidth="1"/>
    <col min="5361" max="5361" width="22.54296875" bestFit="1" customWidth="1"/>
    <col min="5362" max="5362" width="20" bestFit="1" customWidth="1"/>
    <col min="5363" max="5363" width="16.453125" customWidth="1"/>
    <col min="5367" max="5367" width="15.26953125" bestFit="1" customWidth="1"/>
    <col min="5368" max="5368" width="46.7265625" bestFit="1" customWidth="1"/>
    <col min="5369" max="5369" width="41" bestFit="1" customWidth="1"/>
    <col min="5370" max="5370" width="13.81640625" bestFit="1" customWidth="1"/>
    <col min="5371" max="5371" width="9.26953125" bestFit="1" customWidth="1"/>
    <col min="5372" max="5372" width="17.453125" bestFit="1" customWidth="1"/>
    <col min="5373" max="5373" width="60.7265625" bestFit="1" customWidth="1"/>
    <col min="5374" max="5374" width="13.81640625" bestFit="1" customWidth="1"/>
    <col min="5375" max="5375" width="9.26953125" bestFit="1" customWidth="1"/>
    <col min="5376" max="5376" width="17.1796875" bestFit="1" customWidth="1"/>
    <col min="5377" max="5377" width="23.81640625" bestFit="1" customWidth="1"/>
    <col min="5378" max="5378" width="7.1796875" bestFit="1" customWidth="1"/>
    <col min="5379" max="5379" width="9.26953125" bestFit="1" customWidth="1"/>
    <col min="5380" max="5380" width="11" bestFit="1" customWidth="1"/>
    <col min="5381" max="5381" width="20.26953125" bestFit="1" customWidth="1"/>
    <col min="5615" max="5615" width="30.54296875" bestFit="1" customWidth="1"/>
    <col min="5616" max="5616" width="30.54296875" customWidth="1"/>
    <col min="5617" max="5617" width="22.54296875" bestFit="1" customWidth="1"/>
    <col min="5618" max="5618" width="20" bestFit="1" customWidth="1"/>
    <col min="5619" max="5619" width="16.453125" customWidth="1"/>
    <col min="5623" max="5623" width="15.26953125" bestFit="1" customWidth="1"/>
    <col min="5624" max="5624" width="46.7265625" bestFit="1" customWidth="1"/>
    <col min="5625" max="5625" width="41" bestFit="1" customWidth="1"/>
    <col min="5626" max="5626" width="13.81640625" bestFit="1" customWidth="1"/>
    <col min="5627" max="5627" width="9.26953125" bestFit="1" customWidth="1"/>
    <col min="5628" max="5628" width="17.453125" bestFit="1" customWidth="1"/>
    <col min="5629" max="5629" width="60.7265625" bestFit="1" customWidth="1"/>
    <col min="5630" max="5630" width="13.81640625" bestFit="1" customWidth="1"/>
    <col min="5631" max="5631" width="9.26953125" bestFit="1" customWidth="1"/>
    <col min="5632" max="5632" width="17.1796875" bestFit="1" customWidth="1"/>
    <col min="5633" max="5633" width="23.81640625" bestFit="1" customWidth="1"/>
    <col min="5634" max="5634" width="7.1796875" bestFit="1" customWidth="1"/>
    <col min="5635" max="5635" width="9.26953125" bestFit="1" customWidth="1"/>
    <col min="5636" max="5636" width="11" bestFit="1" customWidth="1"/>
    <col min="5637" max="5637" width="20.26953125" bestFit="1" customWidth="1"/>
    <col min="5871" max="5871" width="30.54296875" bestFit="1" customWidth="1"/>
    <col min="5872" max="5872" width="30.54296875" customWidth="1"/>
    <col min="5873" max="5873" width="22.54296875" bestFit="1" customWidth="1"/>
    <col min="5874" max="5874" width="20" bestFit="1" customWidth="1"/>
    <col min="5875" max="5875" width="16.453125" customWidth="1"/>
    <col min="5879" max="5879" width="15.26953125" bestFit="1" customWidth="1"/>
    <col min="5880" max="5880" width="46.7265625" bestFit="1" customWidth="1"/>
    <col min="5881" max="5881" width="41" bestFit="1" customWidth="1"/>
    <col min="5882" max="5882" width="13.81640625" bestFit="1" customWidth="1"/>
    <col min="5883" max="5883" width="9.26953125" bestFit="1" customWidth="1"/>
    <col min="5884" max="5884" width="17.453125" bestFit="1" customWidth="1"/>
    <col min="5885" max="5885" width="60.7265625" bestFit="1" customWidth="1"/>
    <col min="5886" max="5886" width="13.81640625" bestFit="1" customWidth="1"/>
    <col min="5887" max="5887" width="9.26953125" bestFit="1" customWidth="1"/>
    <col min="5888" max="5888" width="17.1796875" bestFit="1" customWidth="1"/>
    <col min="5889" max="5889" width="23.81640625" bestFit="1" customWidth="1"/>
    <col min="5890" max="5890" width="7.1796875" bestFit="1" customWidth="1"/>
    <col min="5891" max="5891" width="9.26953125" bestFit="1" customWidth="1"/>
    <col min="5892" max="5892" width="11" bestFit="1" customWidth="1"/>
    <col min="5893" max="5893" width="20.26953125" bestFit="1" customWidth="1"/>
    <col min="6127" max="6127" width="30.54296875" bestFit="1" customWidth="1"/>
    <col min="6128" max="6128" width="30.54296875" customWidth="1"/>
    <col min="6129" max="6129" width="22.54296875" bestFit="1" customWidth="1"/>
    <col min="6130" max="6130" width="20" bestFit="1" customWidth="1"/>
    <col min="6131" max="6131" width="16.453125" customWidth="1"/>
    <col min="6135" max="6135" width="15.26953125" bestFit="1" customWidth="1"/>
    <col min="6136" max="6136" width="46.7265625" bestFit="1" customWidth="1"/>
    <col min="6137" max="6137" width="41" bestFit="1" customWidth="1"/>
    <col min="6138" max="6138" width="13.81640625" bestFit="1" customWidth="1"/>
    <col min="6139" max="6139" width="9.26953125" bestFit="1" customWidth="1"/>
    <col min="6140" max="6140" width="17.453125" bestFit="1" customWidth="1"/>
    <col min="6141" max="6141" width="60.7265625" bestFit="1" customWidth="1"/>
    <col min="6142" max="6142" width="13.81640625" bestFit="1" customWidth="1"/>
    <col min="6143" max="6143" width="9.26953125" bestFit="1" customWidth="1"/>
    <col min="6144" max="6144" width="17.1796875" bestFit="1" customWidth="1"/>
    <col min="6145" max="6145" width="23.81640625" bestFit="1" customWidth="1"/>
    <col min="6146" max="6146" width="7.1796875" bestFit="1" customWidth="1"/>
    <col min="6147" max="6147" width="9.26953125" bestFit="1" customWidth="1"/>
    <col min="6148" max="6148" width="11" bestFit="1" customWidth="1"/>
    <col min="6149" max="6149" width="20.26953125" bestFit="1" customWidth="1"/>
    <col min="6383" max="6383" width="30.54296875" bestFit="1" customWidth="1"/>
    <col min="6384" max="6384" width="30.54296875" customWidth="1"/>
    <col min="6385" max="6385" width="22.54296875" bestFit="1" customWidth="1"/>
    <col min="6386" max="6386" width="20" bestFit="1" customWidth="1"/>
    <col min="6387" max="6387" width="16.453125" customWidth="1"/>
    <col min="6391" max="6391" width="15.26953125" bestFit="1" customWidth="1"/>
    <col min="6392" max="6392" width="46.7265625" bestFit="1" customWidth="1"/>
    <col min="6393" max="6393" width="41" bestFit="1" customWidth="1"/>
    <col min="6394" max="6394" width="13.81640625" bestFit="1" customWidth="1"/>
    <col min="6395" max="6395" width="9.26953125" bestFit="1" customWidth="1"/>
    <col min="6396" max="6396" width="17.453125" bestFit="1" customWidth="1"/>
    <col min="6397" max="6397" width="60.7265625" bestFit="1" customWidth="1"/>
    <col min="6398" max="6398" width="13.81640625" bestFit="1" customWidth="1"/>
    <col min="6399" max="6399" width="9.26953125" bestFit="1" customWidth="1"/>
    <col min="6400" max="6400" width="17.1796875" bestFit="1" customWidth="1"/>
    <col min="6401" max="6401" width="23.81640625" bestFit="1" customWidth="1"/>
    <col min="6402" max="6402" width="7.1796875" bestFit="1" customWidth="1"/>
    <col min="6403" max="6403" width="9.26953125" bestFit="1" customWidth="1"/>
    <col min="6404" max="6404" width="11" bestFit="1" customWidth="1"/>
    <col min="6405" max="6405" width="20.26953125" bestFit="1" customWidth="1"/>
    <col min="6639" max="6639" width="30.54296875" bestFit="1" customWidth="1"/>
    <col min="6640" max="6640" width="30.54296875" customWidth="1"/>
    <col min="6641" max="6641" width="22.54296875" bestFit="1" customWidth="1"/>
    <col min="6642" max="6642" width="20" bestFit="1" customWidth="1"/>
    <col min="6643" max="6643" width="16.453125" customWidth="1"/>
    <col min="6647" max="6647" width="15.26953125" bestFit="1" customWidth="1"/>
    <col min="6648" max="6648" width="46.7265625" bestFit="1" customWidth="1"/>
    <col min="6649" max="6649" width="41" bestFit="1" customWidth="1"/>
    <col min="6650" max="6650" width="13.81640625" bestFit="1" customWidth="1"/>
    <col min="6651" max="6651" width="9.26953125" bestFit="1" customWidth="1"/>
    <col min="6652" max="6652" width="17.453125" bestFit="1" customWidth="1"/>
    <col min="6653" max="6653" width="60.7265625" bestFit="1" customWidth="1"/>
    <col min="6654" max="6654" width="13.81640625" bestFit="1" customWidth="1"/>
    <col min="6655" max="6655" width="9.26953125" bestFit="1" customWidth="1"/>
    <col min="6656" max="6656" width="17.1796875" bestFit="1" customWidth="1"/>
    <col min="6657" max="6657" width="23.81640625" bestFit="1" customWidth="1"/>
    <col min="6658" max="6658" width="7.1796875" bestFit="1" customWidth="1"/>
    <col min="6659" max="6659" width="9.26953125" bestFit="1" customWidth="1"/>
    <col min="6660" max="6660" width="11" bestFit="1" customWidth="1"/>
    <col min="6661" max="6661" width="20.26953125" bestFit="1" customWidth="1"/>
    <col min="6895" max="6895" width="30.54296875" bestFit="1" customWidth="1"/>
    <col min="6896" max="6896" width="30.54296875" customWidth="1"/>
    <col min="6897" max="6897" width="22.54296875" bestFit="1" customWidth="1"/>
    <col min="6898" max="6898" width="20" bestFit="1" customWidth="1"/>
    <col min="6899" max="6899" width="16.453125" customWidth="1"/>
    <col min="6903" max="6903" width="15.26953125" bestFit="1" customWidth="1"/>
    <col min="6904" max="6904" width="46.7265625" bestFit="1" customWidth="1"/>
    <col min="6905" max="6905" width="41" bestFit="1" customWidth="1"/>
    <col min="6906" max="6906" width="13.81640625" bestFit="1" customWidth="1"/>
    <col min="6907" max="6907" width="9.26953125" bestFit="1" customWidth="1"/>
    <col min="6908" max="6908" width="17.453125" bestFit="1" customWidth="1"/>
    <col min="6909" max="6909" width="60.7265625" bestFit="1" customWidth="1"/>
    <col min="6910" max="6910" width="13.81640625" bestFit="1" customWidth="1"/>
    <col min="6911" max="6911" width="9.26953125" bestFit="1" customWidth="1"/>
    <col min="6912" max="6912" width="17.1796875" bestFit="1" customWidth="1"/>
    <col min="6913" max="6913" width="23.81640625" bestFit="1" customWidth="1"/>
    <col min="6914" max="6914" width="7.1796875" bestFit="1" customWidth="1"/>
    <col min="6915" max="6915" width="9.26953125" bestFit="1" customWidth="1"/>
    <col min="6916" max="6916" width="11" bestFit="1" customWidth="1"/>
    <col min="6917" max="6917" width="20.26953125" bestFit="1" customWidth="1"/>
    <col min="7151" max="7151" width="30.54296875" bestFit="1" customWidth="1"/>
    <col min="7152" max="7152" width="30.54296875" customWidth="1"/>
    <col min="7153" max="7153" width="22.54296875" bestFit="1" customWidth="1"/>
    <col min="7154" max="7154" width="20" bestFit="1" customWidth="1"/>
    <col min="7155" max="7155" width="16.453125" customWidth="1"/>
    <col min="7159" max="7159" width="15.26953125" bestFit="1" customWidth="1"/>
    <col min="7160" max="7160" width="46.7265625" bestFit="1" customWidth="1"/>
    <col min="7161" max="7161" width="41" bestFit="1" customWidth="1"/>
    <col min="7162" max="7162" width="13.81640625" bestFit="1" customWidth="1"/>
    <col min="7163" max="7163" width="9.26953125" bestFit="1" customWidth="1"/>
    <col min="7164" max="7164" width="17.453125" bestFit="1" customWidth="1"/>
    <col min="7165" max="7165" width="60.7265625" bestFit="1" customWidth="1"/>
    <col min="7166" max="7166" width="13.81640625" bestFit="1" customWidth="1"/>
    <col min="7167" max="7167" width="9.26953125" bestFit="1" customWidth="1"/>
    <col min="7168" max="7168" width="17.1796875" bestFit="1" customWidth="1"/>
    <col min="7169" max="7169" width="23.81640625" bestFit="1" customWidth="1"/>
    <col min="7170" max="7170" width="7.1796875" bestFit="1" customWidth="1"/>
    <col min="7171" max="7171" width="9.26953125" bestFit="1" customWidth="1"/>
    <col min="7172" max="7172" width="11" bestFit="1" customWidth="1"/>
    <col min="7173" max="7173" width="20.26953125" bestFit="1" customWidth="1"/>
    <col min="7407" max="7407" width="30.54296875" bestFit="1" customWidth="1"/>
    <col min="7408" max="7408" width="30.54296875" customWidth="1"/>
    <col min="7409" max="7409" width="22.54296875" bestFit="1" customWidth="1"/>
    <col min="7410" max="7410" width="20" bestFit="1" customWidth="1"/>
    <col min="7411" max="7411" width="16.453125" customWidth="1"/>
    <col min="7415" max="7415" width="15.26953125" bestFit="1" customWidth="1"/>
    <col min="7416" max="7416" width="46.7265625" bestFit="1" customWidth="1"/>
    <col min="7417" max="7417" width="41" bestFit="1" customWidth="1"/>
    <col min="7418" max="7418" width="13.81640625" bestFit="1" customWidth="1"/>
    <col min="7419" max="7419" width="9.26953125" bestFit="1" customWidth="1"/>
    <col min="7420" max="7420" width="17.453125" bestFit="1" customWidth="1"/>
    <col min="7421" max="7421" width="60.7265625" bestFit="1" customWidth="1"/>
    <col min="7422" max="7422" width="13.81640625" bestFit="1" customWidth="1"/>
    <col min="7423" max="7423" width="9.26953125" bestFit="1" customWidth="1"/>
    <col min="7424" max="7424" width="17.1796875" bestFit="1" customWidth="1"/>
    <col min="7425" max="7425" width="23.81640625" bestFit="1" customWidth="1"/>
    <col min="7426" max="7426" width="7.1796875" bestFit="1" customWidth="1"/>
    <col min="7427" max="7427" width="9.26953125" bestFit="1" customWidth="1"/>
    <col min="7428" max="7428" width="11" bestFit="1" customWidth="1"/>
    <col min="7429" max="7429" width="20.26953125" bestFit="1" customWidth="1"/>
    <col min="7663" max="7663" width="30.54296875" bestFit="1" customWidth="1"/>
    <col min="7664" max="7664" width="30.54296875" customWidth="1"/>
    <col min="7665" max="7665" width="22.54296875" bestFit="1" customWidth="1"/>
    <col min="7666" max="7666" width="20" bestFit="1" customWidth="1"/>
    <col min="7667" max="7667" width="16.453125" customWidth="1"/>
    <col min="7671" max="7671" width="15.26953125" bestFit="1" customWidth="1"/>
    <col min="7672" max="7672" width="46.7265625" bestFit="1" customWidth="1"/>
    <col min="7673" max="7673" width="41" bestFit="1" customWidth="1"/>
    <col min="7674" max="7674" width="13.81640625" bestFit="1" customWidth="1"/>
    <col min="7675" max="7675" width="9.26953125" bestFit="1" customWidth="1"/>
    <col min="7676" max="7676" width="17.453125" bestFit="1" customWidth="1"/>
    <col min="7677" max="7677" width="60.7265625" bestFit="1" customWidth="1"/>
    <col min="7678" max="7678" width="13.81640625" bestFit="1" customWidth="1"/>
    <col min="7679" max="7679" width="9.26953125" bestFit="1" customWidth="1"/>
    <col min="7680" max="7680" width="17.1796875" bestFit="1" customWidth="1"/>
    <col min="7681" max="7681" width="23.81640625" bestFit="1" customWidth="1"/>
    <col min="7682" max="7682" width="7.1796875" bestFit="1" customWidth="1"/>
    <col min="7683" max="7683" width="9.26953125" bestFit="1" customWidth="1"/>
    <col min="7684" max="7684" width="11" bestFit="1" customWidth="1"/>
    <col min="7685" max="7685" width="20.26953125" bestFit="1" customWidth="1"/>
    <col min="7919" max="7919" width="30.54296875" bestFit="1" customWidth="1"/>
    <col min="7920" max="7920" width="30.54296875" customWidth="1"/>
    <col min="7921" max="7921" width="22.54296875" bestFit="1" customWidth="1"/>
    <col min="7922" max="7922" width="20" bestFit="1" customWidth="1"/>
    <col min="7923" max="7923" width="16.453125" customWidth="1"/>
    <col min="7927" max="7927" width="15.26953125" bestFit="1" customWidth="1"/>
    <col min="7928" max="7928" width="46.7265625" bestFit="1" customWidth="1"/>
    <col min="7929" max="7929" width="41" bestFit="1" customWidth="1"/>
    <col min="7930" max="7930" width="13.81640625" bestFit="1" customWidth="1"/>
    <col min="7931" max="7931" width="9.26953125" bestFit="1" customWidth="1"/>
    <col min="7932" max="7932" width="17.453125" bestFit="1" customWidth="1"/>
    <col min="7933" max="7933" width="60.7265625" bestFit="1" customWidth="1"/>
    <col min="7934" max="7934" width="13.81640625" bestFit="1" customWidth="1"/>
    <col min="7935" max="7935" width="9.26953125" bestFit="1" customWidth="1"/>
    <col min="7936" max="7936" width="17.1796875" bestFit="1" customWidth="1"/>
    <col min="7937" max="7937" width="23.81640625" bestFit="1" customWidth="1"/>
    <col min="7938" max="7938" width="7.1796875" bestFit="1" customWidth="1"/>
    <col min="7939" max="7939" width="9.26953125" bestFit="1" customWidth="1"/>
    <col min="7940" max="7940" width="11" bestFit="1" customWidth="1"/>
    <col min="7941" max="7941" width="20.26953125" bestFit="1" customWidth="1"/>
    <col min="8175" max="8175" width="30.54296875" bestFit="1" customWidth="1"/>
    <col min="8176" max="8176" width="30.54296875" customWidth="1"/>
    <col min="8177" max="8177" width="22.54296875" bestFit="1" customWidth="1"/>
    <col min="8178" max="8178" width="20" bestFit="1" customWidth="1"/>
    <col min="8179" max="8179" width="16.453125" customWidth="1"/>
    <col min="8183" max="8183" width="15.26953125" bestFit="1" customWidth="1"/>
    <col min="8184" max="8184" width="46.7265625" bestFit="1" customWidth="1"/>
    <col min="8185" max="8185" width="41" bestFit="1" customWidth="1"/>
    <col min="8186" max="8186" width="13.81640625" bestFit="1" customWidth="1"/>
    <col min="8187" max="8187" width="9.26953125" bestFit="1" customWidth="1"/>
    <col min="8188" max="8188" width="17.453125" bestFit="1" customWidth="1"/>
    <col min="8189" max="8189" width="60.7265625" bestFit="1" customWidth="1"/>
    <col min="8190" max="8190" width="13.81640625" bestFit="1" customWidth="1"/>
    <col min="8191" max="8191" width="9.26953125" bestFit="1" customWidth="1"/>
    <col min="8192" max="8192" width="17.1796875" bestFit="1" customWidth="1"/>
    <col min="8193" max="8193" width="23.81640625" bestFit="1" customWidth="1"/>
    <col min="8194" max="8194" width="7.1796875" bestFit="1" customWidth="1"/>
    <col min="8195" max="8195" width="9.26953125" bestFit="1" customWidth="1"/>
    <col min="8196" max="8196" width="11" bestFit="1" customWidth="1"/>
    <col min="8197" max="8197" width="20.26953125" bestFit="1" customWidth="1"/>
    <col min="8431" max="8431" width="30.54296875" bestFit="1" customWidth="1"/>
    <col min="8432" max="8432" width="30.54296875" customWidth="1"/>
    <col min="8433" max="8433" width="22.54296875" bestFit="1" customWidth="1"/>
    <col min="8434" max="8434" width="20" bestFit="1" customWidth="1"/>
    <col min="8435" max="8435" width="16.453125" customWidth="1"/>
    <col min="8439" max="8439" width="15.26953125" bestFit="1" customWidth="1"/>
    <col min="8440" max="8440" width="46.7265625" bestFit="1" customWidth="1"/>
    <col min="8441" max="8441" width="41" bestFit="1" customWidth="1"/>
    <col min="8442" max="8442" width="13.81640625" bestFit="1" customWidth="1"/>
    <col min="8443" max="8443" width="9.26953125" bestFit="1" customWidth="1"/>
    <col min="8444" max="8444" width="17.453125" bestFit="1" customWidth="1"/>
    <col min="8445" max="8445" width="60.7265625" bestFit="1" customWidth="1"/>
    <col min="8446" max="8446" width="13.81640625" bestFit="1" customWidth="1"/>
    <col min="8447" max="8447" width="9.26953125" bestFit="1" customWidth="1"/>
    <col min="8448" max="8448" width="17.1796875" bestFit="1" customWidth="1"/>
    <col min="8449" max="8449" width="23.81640625" bestFit="1" customWidth="1"/>
    <col min="8450" max="8450" width="7.1796875" bestFit="1" customWidth="1"/>
    <col min="8451" max="8451" width="9.26953125" bestFit="1" customWidth="1"/>
    <col min="8452" max="8452" width="11" bestFit="1" customWidth="1"/>
    <col min="8453" max="8453" width="20.26953125" bestFit="1" customWidth="1"/>
    <col min="8687" max="8687" width="30.54296875" bestFit="1" customWidth="1"/>
    <col min="8688" max="8688" width="30.54296875" customWidth="1"/>
    <col min="8689" max="8689" width="22.54296875" bestFit="1" customWidth="1"/>
    <col min="8690" max="8690" width="20" bestFit="1" customWidth="1"/>
    <col min="8691" max="8691" width="16.453125" customWidth="1"/>
    <col min="8695" max="8695" width="15.26953125" bestFit="1" customWidth="1"/>
    <col min="8696" max="8696" width="46.7265625" bestFit="1" customWidth="1"/>
    <col min="8697" max="8697" width="41" bestFit="1" customWidth="1"/>
    <col min="8698" max="8698" width="13.81640625" bestFit="1" customWidth="1"/>
    <col min="8699" max="8699" width="9.26953125" bestFit="1" customWidth="1"/>
    <col min="8700" max="8700" width="17.453125" bestFit="1" customWidth="1"/>
    <col min="8701" max="8701" width="60.7265625" bestFit="1" customWidth="1"/>
    <col min="8702" max="8702" width="13.81640625" bestFit="1" customWidth="1"/>
    <col min="8703" max="8703" width="9.26953125" bestFit="1" customWidth="1"/>
    <col min="8704" max="8704" width="17.1796875" bestFit="1" customWidth="1"/>
    <col min="8705" max="8705" width="23.81640625" bestFit="1" customWidth="1"/>
    <col min="8706" max="8706" width="7.1796875" bestFit="1" customWidth="1"/>
    <col min="8707" max="8707" width="9.26953125" bestFit="1" customWidth="1"/>
    <col min="8708" max="8708" width="11" bestFit="1" customWidth="1"/>
    <col min="8709" max="8709" width="20.26953125" bestFit="1" customWidth="1"/>
    <col min="8943" max="8943" width="30.54296875" bestFit="1" customWidth="1"/>
    <col min="8944" max="8944" width="30.54296875" customWidth="1"/>
    <col min="8945" max="8945" width="22.54296875" bestFit="1" customWidth="1"/>
    <col min="8946" max="8946" width="20" bestFit="1" customWidth="1"/>
    <col min="8947" max="8947" width="16.453125" customWidth="1"/>
    <col min="8951" max="8951" width="15.26953125" bestFit="1" customWidth="1"/>
    <col min="8952" max="8952" width="46.7265625" bestFit="1" customWidth="1"/>
    <col min="8953" max="8953" width="41" bestFit="1" customWidth="1"/>
    <col min="8954" max="8954" width="13.81640625" bestFit="1" customWidth="1"/>
    <col min="8955" max="8955" width="9.26953125" bestFit="1" customWidth="1"/>
    <col min="8956" max="8956" width="17.453125" bestFit="1" customWidth="1"/>
    <col min="8957" max="8957" width="60.7265625" bestFit="1" customWidth="1"/>
    <col min="8958" max="8958" width="13.81640625" bestFit="1" customWidth="1"/>
    <col min="8959" max="8959" width="9.26953125" bestFit="1" customWidth="1"/>
    <col min="8960" max="8960" width="17.1796875" bestFit="1" customWidth="1"/>
    <col min="8961" max="8961" width="23.81640625" bestFit="1" customWidth="1"/>
    <col min="8962" max="8962" width="7.1796875" bestFit="1" customWidth="1"/>
    <col min="8963" max="8963" width="9.26953125" bestFit="1" customWidth="1"/>
    <col min="8964" max="8964" width="11" bestFit="1" customWidth="1"/>
    <col min="8965" max="8965" width="20.26953125" bestFit="1" customWidth="1"/>
    <col min="9199" max="9199" width="30.54296875" bestFit="1" customWidth="1"/>
    <col min="9200" max="9200" width="30.54296875" customWidth="1"/>
    <col min="9201" max="9201" width="22.54296875" bestFit="1" customWidth="1"/>
    <col min="9202" max="9202" width="20" bestFit="1" customWidth="1"/>
    <col min="9203" max="9203" width="16.453125" customWidth="1"/>
    <col min="9207" max="9207" width="15.26953125" bestFit="1" customWidth="1"/>
    <col min="9208" max="9208" width="46.7265625" bestFit="1" customWidth="1"/>
    <col min="9209" max="9209" width="41" bestFit="1" customWidth="1"/>
    <col min="9210" max="9210" width="13.81640625" bestFit="1" customWidth="1"/>
    <col min="9211" max="9211" width="9.26953125" bestFit="1" customWidth="1"/>
    <col min="9212" max="9212" width="17.453125" bestFit="1" customWidth="1"/>
    <col min="9213" max="9213" width="60.7265625" bestFit="1" customWidth="1"/>
    <col min="9214" max="9214" width="13.81640625" bestFit="1" customWidth="1"/>
    <col min="9215" max="9215" width="9.26953125" bestFit="1" customWidth="1"/>
    <col min="9216" max="9216" width="17.1796875" bestFit="1" customWidth="1"/>
    <col min="9217" max="9217" width="23.81640625" bestFit="1" customWidth="1"/>
    <col min="9218" max="9218" width="7.1796875" bestFit="1" customWidth="1"/>
    <col min="9219" max="9219" width="9.26953125" bestFit="1" customWidth="1"/>
    <col min="9220" max="9220" width="11" bestFit="1" customWidth="1"/>
    <col min="9221" max="9221" width="20.26953125" bestFit="1" customWidth="1"/>
    <col min="9455" max="9455" width="30.54296875" bestFit="1" customWidth="1"/>
    <col min="9456" max="9456" width="30.54296875" customWidth="1"/>
    <col min="9457" max="9457" width="22.54296875" bestFit="1" customWidth="1"/>
    <col min="9458" max="9458" width="20" bestFit="1" customWidth="1"/>
    <col min="9459" max="9459" width="16.453125" customWidth="1"/>
    <col min="9463" max="9463" width="15.26953125" bestFit="1" customWidth="1"/>
    <col min="9464" max="9464" width="46.7265625" bestFit="1" customWidth="1"/>
    <col min="9465" max="9465" width="41" bestFit="1" customWidth="1"/>
    <col min="9466" max="9466" width="13.81640625" bestFit="1" customWidth="1"/>
    <col min="9467" max="9467" width="9.26953125" bestFit="1" customWidth="1"/>
    <col min="9468" max="9468" width="17.453125" bestFit="1" customWidth="1"/>
    <col min="9469" max="9469" width="60.7265625" bestFit="1" customWidth="1"/>
    <col min="9470" max="9470" width="13.81640625" bestFit="1" customWidth="1"/>
    <col min="9471" max="9471" width="9.26953125" bestFit="1" customWidth="1"/>
    <col min="9472" max="9472" width="17.1796875" bestFit="1" customWidth="1"/>
    <col min="9473" max="9473" width="23.81640625" bestFit="1" customWidth="1"/>
    <col min="9474" max="9474" width="7.1796875" bestFit="1" customWidth="1"/>
    <col min="9475" max="9475" width="9.26953125" bestFit="1" customWidth="1"/>
    <col min="9476" max="9476" width="11" bestFit="1" customWidth="1"/>
    <col min="9477" max="9477" width="20.26953125" bestFit="1" customWidth="1"/>
    <col min="9711" max="9711" width="30.54296875" bestFit="1" customWidth="1"/>
    <col min="9712" max="9712" width="30.54296875" customWidth="1"/>
    <col min="9713" max="9713" width="22.54296875" bestFit="1" customWidth="1"/>
    <col min="9714" max="9714" width="20" bestFit="1" customWidth="1"/>
    <col min="9715" max="9715" width="16.453125" customWidth="1"/>
    <col min="9719" max="9719" width="15.26953125" bestFit="1" customWidth="1"/>
    <col min="9720" max="9720" width="46.7265625" bestFit="1" customWidth="1"/>
    <col min="9721" max="9721" width="41" bestFit="1" customWidth="1"/>
    <col min="9722" max="9722" width="13.81640625" bestFit="1" customWidth="1"/>
    <col min="9723" max="9723" width="9.26953125" bestFit="1" customWidth="1"/>
    <col min="9724" max="9724" width="17.453125" bestFit="1" customWidth="1"/>
    <col min="9725" max="9725" width="60.7265625" bestFit="1" customWidth="1"/>
    <col min="9726" max="9726" width="13.81640625" bestFit="1" customWidth="1"/>
    <col min="9727" max="9727" width="9.26953125" bestFit="1" customWidth="1"/>
    <col min="9728" max="9728" width="17.1796875" bestFit="1" customWidth="1"/>
    <col min="9729" max="9729" width="23.81640625" bestFit="1" customWidth="1"/>
    <col min="9730" max="9730" width="7.1796875" bestFit="1" customWidth="1"/>
    <col min="9731" max="9731" width="9.26953125" bestFit="1" customWidth="1"/>
    <col min="9732" max="9732" width="11" bestFit="1" customWidth="1"/>
    <col min="9733" max="9733" width="20.26953125" bestFit="1" customWidth="1"/>
    <col min="9967" max="9967" width="30.54296875" bestFit="1" customWidth="1"/>
    <col min="9968" max="9968" width="30.54296875" customWidth="1"/>
    <col min="9969" max="9969" width="22.54296875" bestFit="1" customWidth="1"/>
    <col min="9970" max="9970" width="20" bestFit="1" customWidth="1"/>
    <col min="9971" max="9971" width="16.453125" customWidth="1"/>
    <col min="9975" max="9975" width="15.26953125" bestFit="1" customWidth="1"/>
    <col min="9976" max="9976" width="46.7265625" bestFit="1" customWidth="1"/>
    <col min="9977" max="9977" width="41" bestFit="1" customWidth="1"/>
    <col min="9978" max="9978" width="13.81640625" bestFit="1" customWidth="1"/>
    <col min="9979" max="9979" width="9.26953125" bestFit="1" customWidth="1"/>
    <col min="9980" max="9980" width="17.453125" bestFit="1" customWidth="1"/>
    <col min="9981" max="9981" width="60.7265625" bestFit="1" customWidth="1"/>
    <col min="9982" max="9982" width="13.81640625" bestFit="1" customWidth="1"/>
    <col min="9983" max="9983" width="9.26953125" bestFit="1" customWidth="1"/>
    <col min="9984" max="9984" width="17.1796875" bestFit="1" customWidth="1"/>
    <col min="9985" max="9985" width="23.81640625" bestFit="1" customWidth="1"/>
    <col min="9986" max="9986" width="7.1796875" bestFit="1" customWidth="1"/>
    <col min="9987" max="9987" width="9.26953125" bestFit="1" customWidth="1"/>
    <col min="9988" max="9988" width="11" bestFit="1" customWidth="1"/>
    <col min="9989" max="9989" width="20.26953125" bestFit="1" customWidth="1"/>
    <col min="10223" max="10223" width="30.54296875" bestFit="1" customWidth="1"/>
    <col min="10224" max="10224" width="30.54296875" customWidth="1"/>
    <col min="10225" max="10225" width="22.54296875" bestFit="1" customWidth="1"/>
    <col min="10226" max="10226" width="20" bestFit="1" customWidth="1"/>
    <col min="10227" max="10227" width="16.453125" customWidth="1"/>
    <col min="10231" max="10231" width="15.26953125" bestFit="1" customWidth="1"/>
    <col min="10232" max="10232" width="46.7265625" bestFit="1" customWidth="1"/>
    <col min="10233" max="10233" width="41" bestFit="1" customWidth="1"/>
    <col min="10234" max="10234" width="13.81640625" bestFit="1" customWidth="1"/>
    <col min="10235" max="10235" width="9.26953125" bestFit="1" customWidth="1"/>
    <col min="10236" max="10236" width="17.453125" bestFit="1" customWidth="1"/>
    <col min="10237" max="10237" width="60.7265625" bestFit="1" customWidth="1"/>
    <col min="10238" max="10238" width="13.81640625" bestFit="1" customWidth="1"/>
    <col min="10239" max="10239" width="9.26953125" bestFit="1" customWidth="1"/>
    <col min="10240" max="10240" width="17.1796875" bestFit="1" customWidth="1"/>
    <col min="10241" max="10241" width="23.81640625" bestFit="1" customWidth="1"/>
    <col min="10242" max="10242" width="7.1796875" bestFit="1" customWidth="1"/>
    <col min="10243" max="10243" width="9.26953125" bestFit="1" customWidth="1"/>
    <col min="10244" max="10244" width="11" bestFit="1" customWidth="1"/>
    <col min="10245" max="10245" width="20.26953125" bestFit="1" customWidth="1"/>
    <col min="10479" max="10479" width="30.54296875" bestFit="1" customWidth="1"/>
    <col min="10480" max="10480" width="30.54296875" customWidth="1"/>
    <col min="10481" max="10481" width="22.54296875" bestFit="1" customWidth="1"/>
    <col min="10482" max="10482" width="20" bestFit="1" customWidth="1"/>
    <col min="10483" max="10483" width="16.453125" customWidth="1"/>
    <col min="10487" max="10487" width="15.26953125" bestFit="1" customWidth="1"/>
    <col min="10488" max="10488" width="46.7265625" bestFit="1" customWidth="1"/>
    <col min="10489" max="10489" width="41" bestFit="1" customWidth="1"/>
    <col min="10490" max="10490" width="13.81640625" bestFit="1" customWidth="1"/>
    <col min="10491" max="10491" width="9.26953125" bestFit="1" customWidth="1"/>
    <col min="10492" max="10492" width="17.453125" bestFit="1" customWidth="1"/>
    <col min="10493" max="10493" width="60.7265625" bestFit="1" customWidth="1"/>
    <col min="10494" max="10494" width="13.81640625" bestFit="1" customWidth="1"/>
    <col min="10495" max="10495" width="9.26953125" bestFit="1" customWidth="1"/>
    <col min="10496" max="10496" width="17.1796875" bestFit="1" customWidth="1"/>
    <col min="10497" max="10497" width="23.81640625" bestFit="1" customWidth="1"/>
    <col min="10498" max="10498" width="7.1796875" bestFit="1" customWidth="1"/>
    <col min="10499" max="10499" width="9.26953125" bestFit="1" customWidth="1"/>
    <col min="10500" max="10500" width="11" bestFit="1" customWidth="1"/>
    <col min="10501" max="10501" width="20.26953125" bestFit="1" customWidth="1"/>
    <col min="10735" max="10735" width="30.54296875" bestFit="1" customWidth="1"/>
    <col min="10736" max="10736" width="30.54296875" customWidth="1"/>
    <col min="10737" max="10737" width="22.54296875" bestFit="1" customWidth="1"/>
    <col min="10738" max="10738" width="20" bestFit="1" customWidth="1"/>
    <col min="10739" max="10739" width="16.453125" customWidth="1"/>
    <col min="10743" max="10743" width="15.26953125" bestFit="1" customWidth="1"/>
    <col min="10744" max="10744" width="46.7265625" bestFit="1" customWidth="1"/>
    <col min="10745" max="10745" width="41" bestFit="1" customWidth="1"/>
    <col min="10746" max="10746" width="13.81640625" bestFit="1" customWidth="1"/>
    <col min="10747" max="10747" width="9.26953125" bestFit="1" customWidth="1"/>
    <col min="10748" max="10748" width="17.453125" bestFit="1" customWidth="1"/>
    <col min="10749" max="10749" width="60.7265625" bestFit="1" customWidth="1"/>
    <col min="10750" max="10750" width="13.81640625" bestFit="1" customWidth="1"/>
    <col min="10751" max="10751" width="9.26953125" bestFit="1" customWidth="1"/>
    <col min="10752" max="10752" width="17.1796875" bestFit="1" customWidth="1"/>
    <col min="10753" max="10753" width="23.81640625" bestFit="1" customWidth="1"/>
    <col min="10754" max="10754" width="7.1796875" bestFit="1" customWidth="1"/>
    <col min="10755" max="10755" width="9.26953125" bestFit="1" customWidth="1"/>
    <col min="10756" max="10756" width="11" bestFit="1" customWidth="1"/>
    <col min="10757" max="10757" width="20.26953125" bestFit="1" customWidth="1"/>
    <col min="10991" max="10991" width="30.54296875" bestFit="1" customWidth="1"/>
    <col min="10992" max="10992" width="30.54296875" customWidth="1"/>
    <col min="10993" max="10993" width="22.54296875" bestFit="1" customWidth="1"/>
    <col min="10994" max="10994" width="20" bestFit="1" customWidth="1"/>
    <col min="10995" max="10995" width="16.453125" customWidth="1"/>
    <col min="10999" max="10999" width="15.26953125" bestFit="1" customWidth="1"/>
    <col min="11000" max="11000" width="46.7265625" bestFit="1" customWidth="1"/>
    <col min="11001" max="11001" width="41" bestFit="1" customWidth="1"/>
    <col min="11002" max="11002" width="13.81640625" bestFit="1" customWidth="1"/>
    <col min="11003" max="11003" width="9.26953125" bestFit="1" customWidth="1"/>
    <col min="11004" max="11004" width="17.453125" bestFit="1" customWidth="1"/>
    <col min="11005" max="11005" width="60.7265625" bestFit="1" customWidth="1"/>
    <col min="11006" max="11006" width="13.81640625" bestFit="1" customWidth="1"/>
    <col min="11007" max="11007" width="9.26953125" bestFit="1" customWidth="1"/>
    <col min="11008" max="11008" width="17.1796875" bestFit="1" customWidth="1"/>
    <col min="11009" max="11009" width="23.81640625" bestFit="1" customWidth="1"/>
    <col min="11010" max="11010" width="7.1796875" bestFit="1" customWidth="1"/>
    <col min="11011" max="11011" width="9.26953125" bestFit="1" customWidth="1"/>
    <col min="11012" max="11012" width="11" bestFit="1" customWidth="1"/>
    <col min="11013" max="11013" width="20.26953125" bestFit="1" customWidth="1"/>
    <col min="11247" max="11247" width="30.54296875" bestFit="1" customWidth="1"/>
    <col min="11248" max="11248" width="30.54296875" customWidth="1"/>
    <col min="11249" max="11249" width="22.54296875" bestFit="1" customWidth="1"/>
    <col min="11250" max="11250" width="20" bestFit="1" customWidth="1"/>
    <col min="11251" max="11251" width="16.453125" customWidth="1"/>
    <col min="11255" max="11255" width="15.26953125" bestFit="1" customWidth="1"/>
    <col min="11256" max="11256" width="46.7265625" bestFit="1" customWidth="1"/>
    <col min="11257" max="11257" width="41" bestFit="1" customWidth="1"/>
    <col min="11258" max="11258" width="13.81640625" bestFit="1" customWidth="1"/>
    <col min="11259" max="11259" width="9.26953125" bestFit="1" customWidth="1"/>
    <col min="11260" max="11260" width="17.453125" bestFit="1" customWidth="1"/>
    <col min="11261" max="11261" width="60.7265625" bestFit="1" customWidth="1"/>
    <col min="11262" max="11262" width="13.81640625" bestFit="1" customWidth="1"/>
    <col min="11263" max="11263" width="9.26953125" bestFit="1" customWidth="1"/>
    <col min="11264" max="11264" width="17.1796875" bestFit="1" customWidth="1"/>
    <col min="11265" max="11265" width="23.81640625" bestFit="1" customWidth="1"/>
    <col min="11266" max="11266" width="7.1796875" bestFit="1" customWidth="1"/>
    <col min="11267" max="11267" width="9.26953125" bestFit="1" customWidth="1"/>
    <col min="11268" max="11268" width="11" bestFit="1" customWidth="1"/>
    <col min="11269" max="11269" width="20.26953125" bestFit="1" customWidth="1"/>
    <col min="11503" max="11503" width="30.54296875" bestFit="1" customWidth="1"/>
    <col min="11504" max="11504" width="30.54296875" customWidth="1"/>
    <col min="11505" max="11505" width="22.54296875" bestFit="1" customWidth="1"/>
    <col min="11506" max="11506" width="20" bestFit="1" customWidth="1"/>
    <col min="11507" max="11507" width="16.453125" customWidth="1"/>
    <col min="11511" max="11511" width="15.26953125" bestFit="1" customWidth="1"/>
    <col min="11512" max="11512" width="46.7265625" bestFit="1" customWidth="1"/>
    <col min="11513" max="11513" width="41" bestFit="1" customWidth="1"/>
    <col min="11514" max="11514" width="13.81640625" bestFit="1" customWidth="1"/>
    <col min="11515" max="11515" width="9.26953125" bestFit="1" customWidth="1"/>
    <col min="11516" max="11516" width="17.453125" bestFit="1" customWidth="1"/>
    <col min="11517" max="11517" width="60.7265625" bestFit="1" customWidth="1"/>
    <col min="11518" max="11518" width="13.81640625" bestFit="1" customWidth="1"/>
    <col min="11519" max="11519" width="9.26953125" bestFit="1" customWidth="1"/>
    <col min="11520" max="11520" width="17.1796875" bestFit="1" customWidth="1"/>
    <col min="11521" max="11521" width="23.81640625" bestFit="1" customWidth="1"/>
    <col min="11522" max="11522" width="7.1796875" bestFit="1" customWidth="1"/>
    <col min="11523" max="11523" width="9.26953125" bestFit="1" customWidth="1"/>
    <col min="11524" max="11524" width="11" bestFit="1" customWidth="1"/>
    <col min="11525" max="11525" width="20.26953125" bestFit="1" customWidth="1"/>
    <col min="11759" max="11759" width="30.54296875" bestFit="1" customWidth="1"/>
    <col min="11760" max="11760" width="30.54296875" customWidth="1"/>
    <col min="11761" max="11761" width="22.54296875" bestFit="1" customWidth="1"/>
    <col min="11762" max="11762" width="20" bestFit="1" customWidth="1"/>
    <col min="11763" max="11763" width="16.453125" customWidth="1"/>
    <col min="11767" max="11767" width="15.26953125" bestFit="1" customWidth="1"/>
    <col min="11768" max="11768" width="46.7265625" bestFit="1" customWidth="1"/>
    <col min="11769" max="11769" width="41" bestFit="1" customWidth="1"/>
    <col min="11770" max="11770" width="13.81640625" bestFit="1" customWidth="1"/>
    <col min="11771" max="11771" width="9.26953125" bestFit="1" customWidth="1"/>
    <col min="11772" max="11772" width="17.453125" bestFit="1" customWidth="1"/>
    <col min="11773" max="11773" width="60.7265625" bestFit="1" customWidth="1"/>
    <col min="11774" max="11774" width="13.81640625" bestFit="1" customWidth="1"/>
    <col min="11775" max="11775" width="9.26953125" bestFit="1" customWidth="1"/>
    <col min="11776" max="11776" width="17.1796875" bestFit="1" customWidth="1"/>
    <col min="11777" max="11777" width="23.81640625" bestFit="1" customWidth="1"/>
    <col min="11778" max="11778" width="7.1796875" bestFit="1" customWidth="1"/>
    <col min="11779" max="11779" width="9.26953125" bestFit="1" customWidth="1"/>
    <col min="11780" max="11780" width="11" bestFit="1" customWidth="1"/>
    <col min="11781" max="11781" width="20.26953125" bestFit="1" customWidth="1"/>
    <col min="12015" max="12015" width="30.54296875" bestFit="1" customWidth="1"/>
    <col min="12016" max="12016" width="30.54296875" customWidth="1"/>
    <col min="12017" max="12017" width="22.54296875" bestFit="1" customWidth="1"/>
    <col min="12018" max="12018" width="20" bestFit="1" customWidth="1"/>
    <col min="12019" max="12019" width="16.453125" customWidth="1"/>
    <col min="12023" max="12023" width="15.26953125" bestFit="1" customWidth="1"/>
    <col min="12024" max="12024" width="46.7265625" bestFit="1" customWidth="1"/>
    <col min="12025" max="12025" width="41" bestFit="1" customWidth="1"/>
    <col min="12026" max="12026" width="13.81640625" bestFit="1" customWidth="1"/>
    <col min="12027" max="12027" width="9.26953125" bestFit="1" customWidth="1"/>
    <col min="12028" max="12028" width="17.453125" bestFit="1" customWidth="1"/>
    <col min="12029" max="12029" width="60.7265625" bestFit="1" customWidth="1"/>
    <col min="12030" max="12030" width="13.81640625" bestFit="1" customWidth="1"/>
    <col min="12031" max="12031" width="9.26953125" bestFit="1" customWidth="1"/>
    <col min="12032" max="12032" width="17.1796875" bestFit="1" customWidth="1"/>
    <col min="12033" max="12033" width="23.81640625" bestFit="1" customWidth="1"/>
    <col min="12034" max="12034" width="7.1796875" bestFit="1" customWidth="1"/>
    <col min="12035" max="12035" width="9.26953125" bestFit="1" customWidth="1"/>
    <col min="12036" max="12036" width="11" bestFit="1" customWidth="1"/>
    <col min="12037" max="12037" width="20.26953125" bestFit="1" customWidth="1"/>
    <col min="12271" max="12271" width="30.54296875" bestFit="1" customWidth="1"/>
    <col min="12272" max="12272" width="30.54296875" customWidth="1"/>
    <col min="12273" max="12273" width="22.54296875" bestFit="1" customWidth="1"/>
    <col min="12274" max="12274" width="20" bestFit="1" customWidth="1"/>
    <col min="12275" max="12275" width="16.453125" customWidth="1"/>
    <col min="12279" max="12279" width="15.26953125" bestFit="1" customWidth="1"/>
    <col min="12280" max="12280" width="46.7265625" bestFit="1" customWidth="1"/>
    <col min="12281" max="12281" width="41" bestFit="1" customWidth="1"/>
    <col min="12282" max="12282" width="13.81640625" bestFit="1" customWidth="1"/>
    <col min="12283" max="12283" width="9.26953125" bestFit="1" customWidth="1"/>
    <col min="12284" max="12284" width="17.453125" bestFit="1" customWidth="1"/>
    <col min="12285" max="12285" width="60.7265625" bestFit="1" customWidth="1"/>
    <col min="12286" max="12286" width="13.81640625" bestFit="1" customWidth="1"/>
    <col min="12287" max="12287" width="9.26953125" bestFit="1" customWidth="1"/>
    <col min="12288" max="12288" width="17.1796875" bestFit="1" customWidth="1"/>
    <col min="12289" max="12289" width="23.81640625" bestFit="1" customWidth="1"/>
    <col min="12290" max="12290" width="7.1796875" bestFit="1" customWidth="1"/>
    <col min="12291" max="12291" width="9.26953125" bestFit="1" customWidth="1"/>
    <col min="12292" max="12292" width="11" bestFit="1" customWidth="1"/>
    <col min="12293" max="12293" width="20.26953125" bestFit="1" customWidth="1"/>
    <col min="12527" max="12527" width="30.54296875" bestFit="1" customWidth="1"/>
    <col min="12528" max="12528" width="30.54296875" customWidth="1"/>
    <col min="12529" max="12529" width="22.54296875" bestFit="1" customWidth="1"/>
    <col min="12530" max="12530" width="20" bestFit="1" customWidth="1"/>
    <col min="12531" max="12531" width="16.453125" customWidth="1"/>
    <col min="12535" max="12535" width="15.26953125" bestFit="1" customWidth="1"/>
    <col min="12536" max="12536" width="46.7265625" bestFit="1" customWidth="1"/>
    <col min="12537" max="12537" width="41" bestFit="1" customWidth="1"/>
    <col min="12538" max="12538" width="13.81640625" bestFit="1" customWidth="1"/>
    <col min="12539" max="12539" width="9.26953125" bestFit="1" customWidth="1"/>
    <col min="12540" max="12540" width="17.453125" bestFit="1" customWidth="1"/>
    <col min="12541" max="12541" width="60.7265625" bestFit="1" customWidth="1"/>
    <col min="12542" max="12542" width="13.81640625" bestFit="1" customWidth="1"/>
    <col min="12543" max="12543" width="9.26953125" bestFit="1" customWidth="1"/>
    <col min="12544" max="12544" width="17.1796875" bestFit="1" customWidth="1"/>
    <col min="12545" max="12545" width="23.81640625" bestFit="1" customWidth="1"/>
    <col min="12546" max="12546" width="7.1796875" bestFit="1" customWidth="1"/>
    <col min="12547" max="12547" width="9.26953125" bestFit="1" customWidth="1"/>
    <col min="12548" max="12548" width="11" bestFit="1" customWidth="1"/>
    <col min="12549" max="12549" width="20.26953125" bestFit="1" customWidth="1"/>
    <col min="12783" max="12783" width="30.54296875" bestFit="1" customWidth="1"/>
    <col min="12784" max="12784" width="30.54296875" customWidth="1"/>
    <col min="12785" max="12785" width="22.54296875" bestFit="1" customWidth="1"/>
    <col min="12786" max="12786" width="20" bestFit="1" customWidth="1"/>
    <col min="12787" max="12787" width="16.453125" customWidth="1"/>
    <col min="12791" max="12791" width="15.26953125" bestFit="1" customWidth="1"/>
    <col min="12792" max="12792" width="46.7265625" bestFit="1" customWidth="1"/>
    <col min="12793" max="12793" width="41" bestFit="1" customWidth="1"/>
    <col min="12794" max="12794" width="13.81640625" bestFit="1" customWidth="1"/>
    <col min="12795" max="12795" width="9.26953125" bestFit="1" customWidth="1"/>
    <col min="12796" max="12796" width="17.453125" bestFit="1" customWidth="1"/>
    <col min="12797" max="12797" width="60.7265625" bestFit="1" customWidth="1"/>
    <col min="12798" max="12798" width="13.81640625" bestFit="1" customWidth="1"/>
    <col min="12799" max="12799" width="9.26953125" bestFit="1" customWidth="1"/>
    <col min="12800" max="12800" width="17.1796875" bestFit="1" customWidth="1"/>
    <col min="12801" max="12801" width="23.81640625" bestFit="1" customWidth="1"/>
    <col min="12802" max="12802" width="7.1796875" bestFit="1" customWidth="1"/>
    <col min="12803" max="12803" width="9.26953125" bestFit="1" customWidth="1"/>
    <col min="12804" max="12804" width="11" bestFit="1" customWidth="1"/>
    <col min="12805" max="12805" width="20.26953125" bestFit="1" customWidth="1"/>
    <col min="13039" max="13039" width="30.54296875" bestFit="1" customWidth="1"/>
    <col min="13040" max="13040" width="30.54296875" customWidth="1"/>
    <col min="13041" max="13041" width="22.54296875" bestFit="1" customWidth="1"/>
    <col min="13042" max="13042" width="20" bestFit="1" customWidth="1"/>
    <col min="13043" max="13043" width="16.453125" customWidth="1"/>
    <col min="13047" max="13047" width="15.26953125" bestFit="1" customWidth="1"/>
    <col min="13048" max="13048" width="46.7265625" bestFit="1" customWidth="1"/>
    <col min="13049" max="13049" width="41" bestFit="1" customWidth="1"/>
    <col min="13050" max="13050" width="13.81640625" bestFit="1" customWidth="1"/>
    <col min="13051" max="13051" width="9.26953125" bestFit="1" customWidth="1"/>
    <col min="13052" max="13052" width="17.453125" bestFit="1" customWidth="1"/>
    <col min="13053" max="13053" width="60.7265625" bestFit="1" customWidth="1"/>
    <col min="13054" max="13054" width="13.81640625" bestFit="1" customWidth="1"/>
    <col min="13055" max="13055" width="9.26953125" bestFit="1" customWidth="1"/>
    <col min="13056" max="13056" width="17.1796875" bestFit="1" customWidth="1"/>
    <col min="13057" max="13057" width="23.81640625" bestFit="1" customWidth="1"/>
    <col min="13058" max="13058" width="7.1796875" bestFit="1" customWidth="1"/>
    <col min="13059" max="13059" width="9.26953125" bestFit="1" customWidth="1"/>
    <col min="13060" max="13060" width="11" bestFit="1" customWidth="1"/>
    <col min="13061" max="13061" width="20.26953125" bestFit="1" customWidth="1"/>
    <col min="13295" max="13295" width="30.54296875" bestFit="1" customWidth="1"/>
    <col min="13296" max="13296" width="30.54296875" customWidth="1"/>
    <col min="13297" max="13297" width="22.54296875" bestFit="1" customWidth="1"/>
    <col min="13298" max="13298" width="20" bestFit="1" customWidth="1"/>
    <col min="13299" max="13299" width="16.453125" customWidth="1"/>
    <col min="13303" max="13303" width="15.26953125" bestFit="1" customWidth="1"/>
    <col min="13304" max="13304" width="46.7265625" bestFit="1" customWidth="1"/>
    <col min="13305" max="13305" width="41" bestFit="1" customWidth="1"/>
    <col min="13306" max="13306" width="13.81640625" bestFit="1" customWidth="1"/>
    <col min="13307" max="13307" width="9.26953125" bestFit="1" customWidth="1"/>
    <col min="13308" max="13308" width="17.453125" bestFit="1" customWidth="1"/>
    <col min="13309" max="13309" width="60.7265625" bestFit="1" customWidth="1"/>
    <col min="13310" max="13310" width="13.81640625" bestFit="1" customWidth="1"/>
    <col min="13311" max="13311" width="9.26953125" bestFit="1" customWidth="1"/>
    <col min="13312" max="13312" width="17.1796875" bestFit="1" customWidth="1"/>
    <col min="13313" max="13313" width="23.81640625" bestFit="1" customWidth="1"/>
    <col min="13314" max="13314" width="7.1796875" bestFit="1" customWidth="1"/>
    <col min="13315" max="13315" width="9.26953125" bestFit="1" customWidth="1"/>
    <col min="13316" max="13316" width="11" bestFit="1" customWidth="1"/>
    <col min="13317" max="13317" width="20.26953125" bestFit="1" customWidth="1"/>
    <col min="13551" max="13551" width="30.54296875" bestFit="1" customWidth="1"/>
    <col min="13552" max="13552" width="30.54296875" customWidth="1"/>
    <col min="13553" max="13553" width="22.54296875" bestFit="1" customWidth="1"/>
    <col min="13554" max="13554" width="20" bestFit="1" customWidth="1"/>
    <col min="13555" max="13555" width="16.453125" customWidth="1"/>
    <col min="13559" max="13559" width="15.26953125" bestFit="1" customWidth="1"/>
    <col min="13560" max="13560" width="46.7265625" bestFit="1" customWidth="1"/>
    <col min="13561" max="13561" width="41" bestFit="1" customWidth="1"/>
    <col min="13562" max="13562" width="13.81640625" bestFit="1" customWidth="1"/>
    <col min="13563" max="13563" width="9.26953125" bestFit="1" customWidth="1"/>
    <col min="13564" max="13564" width="17.453125" bestFit="1" customWidth="1"/>
    <col min="13565" max="13565" width="60.7265625" bestFit="1" customWidth="1"/>
    <col min="13566" max="13566" width="13.81640625" bestFit="1" customWidth="1"/>
    <col min="13567" max="13567" width="9.26953125" bestFit="1" customWidth="1"/>
    <col min="13568" max="13568" width="17.1796875" bestFit="1" customWidth="1"/>
    <col min="13569" max="13569" width="23.81640625" bestFit="1" customWidth="1"/>
    <col min="13570" max="13570" width="7.1796875" bestFit="1" customWidth="1"/>
    <col min="13571" max="13571" width="9.26953125" bestFit="1" customWidth="1"/>
    <col min="13572" max="13572" width="11" bestFit="1" customWidth="1"/>
    <col min="13573" max="13573" width="20.26953125" bestFit="1" customWidth="1"/>
    <col min="13807" max="13807" width="30.54296875" bestFit="1" customWidth="1"/>
    <col min="13808" max="13808" width="30.54296875" customWidth="1"/>
    <col min="13809" max="13809" width="22.54296875" bestFit="1" customWidth="1"/>
    <col min="13810" max="13810" width="20" bestFit="1" customWidth="1"/>
    <col min="13811" max="13811" width="16.453125" customWidth="1"/>
    <col min="13815" max="13815" width="15.26953125" bestFit="1" customWidth="1"/>
    <col min="13816" max="13816" width="46.7265625" bestFit="1" customWidth="1"/>
    <col min="13817" max="13817" width="41" bestFit="1" customWidth="1"/>
    <col min="13818" max="13818" width="13.81640625" bestFit="1" customWidth="1"/>
    <col min="13819" max="13819" width="9.26953125" bestFit="1" customWidth="1"/>
    <col min="13820" max="13820" width="17.453125" bestFit="1" customWidth="1"/>
    <col min="13821" max="13821" width="60.7265625" bestFit="1" customWidth="1"/>
    <col min="13822" max="13822" width="13.81640625" bestFit="1" customWidth="1"/>
    <col min="13823" max="13823" width="9.26953125" bestFit="1" customWidth="1"/>
    <col min="13824" max="13824" width="17.1796875" bestFit="1" customWidth="1"/>
    <col min="13825" max="13825" width="23.81640625" bestFit="1" customWidth="1"/>
    <col min="13826" max="13826" width="7.1796875" bestFit="1" customWidth="1"/>
    <col min="13827" max="13827" width="9.26953125" bestFit="1" customWidth="1"/>
    <col min="13828" max="13828" width="11" bestFit="1" customWidth="1"/>
    <col min="13829" max="13829" width="20.26953125" bestFit="1" customWidth="1"/>
    <col min="14063" max="14063" width="30.54296875" bestFit="1" customWidth="1"/>
    <col min="14064" max="14064" width="30.54296875" customWidth="1"/>
    <col min="14065" max="14065" width="22.54296875" bestFit="1" customWidth="1"/>
    <col min="14066" max="14066" width="20" bestFit="1" customWidth="1"/>
    <col min="14067" max="14067" width="16.453125" customWidth="1"/>
    <col min="14071" max="14071" width="15.26953125" bestFit="1" customWidth="1"/>
    <col min="14072" max="14072" width="46.7265625" bestFit="1" customWidth="1"/>
    <col min="14073" max="14073" width="41" bestFit="1" customWidth="1"/>
    <col min="14074" max="14074" width="13.81640625" bestFit="1" customWidth="1"/>
    <col min="14075" max="14075" width="9.26953125" bestFit="1" customWidth="1"/>
    <col min="14076" max="14076" width="17.453125" bestFit="1" customWidth="1"/>
    <col min="14077" max="14077" width="60.7265625" bestFit="1" customWidth="1"/>
    <col min="14078" max="14078" width="13.81640625" bestFit="1" customWidth="1"/>
    <col min="14079" max="14079" width="9.26953125" bestFit="1" customWidth="1"/>
    <col min="14080" max="14080" width="17.1796875" bestFit="1" customWidth="1"/>
    <col min="14081" max="14081" width="23.81640625" bestFit="1" customWidth="1"/>
    <col min="14082" max="14082" width="7.1796875" bestFit="1" customWidth="1"/>
    <col min="14083" max="14083" width="9.26953125" bestFit="1" customWidth="1"/>
    <col min="14084" max="14084" width="11" bestFit="1" customWidth="1"/>
    <col min="14085" max="14085" width="20.26953125" bestFit="1" customWidth="1"/>
    <col min="14319" max="14319" width="30.54296875" bestFit="1" customWidth="1"/>
    <col min="14320" max="14320" width="30.54296875" customWidth="1"/>
    <col min="14321" max="14321" width="22.54296875" bestFit="1" customWidth="1"/>
    <col min="14322" max="14322" width="20" bestFit="1" customWidth="1"/>
    <col min="14323" max="14323" width="16.453125" customWidth="1"/>
    <col min="14327" max="14327" width="15.26953125" bestFit="1" customWidth="1"/>
    <col min="14328" max="14328" width="46.7265625" bestFit="1" customWidth="1"/>
    <col min="14329" max="14329" width="41" bestFit="1" customWidth="1"/>
    <col min="14330" max="14330" width="13.81640625" bestFit="1" customWidth="1"/>
    <col min="14331" max="14331" width="9.26953125" bestFit="1" customWidth="1"/>
    <col min="14332" max="14332" width="17.453125" bestFit="1" customWidth="1"/>
    <col min="14333" max="14333" width="60.7265625" bestFit="1" customWidth="1"/>
    <col min="14334" max="14334" width="13.81640625" bestFit="1" customWidth="1"/>
    <col min="14335" max="14335" width="9.26953125" bestFit="1" customWidth="1"/>
    <col min="14336" max="14336" width="17.1796875" bestFit="1" customWidth="1"/>
    <col min="14337" max="14337" width="23.81640625" bestFit="1" customWidth="1"/>
    <col min="14338" max="14338" width="7.1796875" bestFit="1" customWidth="1"/>
    <col min="14339" max="14339" width="9.26953125" bestFit="1" customWidth="1"/>
    <col min="14340" max="14340" width="11" bestFit="1" customWidth="1"/>
    <col min="14341" max="14341" width="20.26953125" bestFit="1" customWidth="1"/>
    <col min="14575" max="14575" width="30.54296875" bestFit="1" customWidth="1"/>
    <col min="14576" max="14576" width="30.54296875" customWidth="1"/>
    <col min="14577" max="14577" width="22.54296875" bestFit="1" customWidth="1"/>
    <col min="14578" max="14578" width="20" bestFit="1" customWidth="1"/>
    <col min="14579" max="14579" width="16.453125" customWidth="1"/>
    <col min="14583" max="14583" width="15.26953125" bestFit="1" customWidth="1"/>
    <col min="14584" max="14584" width="46.7265625" bestFit="1" customWidth="1"/>
    <col min="14585" max="14585" width="41" bestFit="1" customWidth="1"/>
    <col min="14586" max="14586" width="13.81640625" bestFit="1" customWidth="1"/>
    <col min="14587" max="14587" width="9.26953125" bestFit="1" customWidth="1"/>
    <col min="14588" max="14588" width="17.453125" bestFit="1" customWidth="1"/>
    <col min="14589" max="14589" width="60.7265625" bestFit="1" customWidth="1"/>
    <col min="14590" max="14590" width="13.81640625" bestFit="1" customWidth="1"/>
    <col min="14591" max="14591" width="9.26953125" bestFit="1" customWidth="1"/>
    <col min="14592" max="14592" width="17.1796875" bestFit="1" customWidth="1"/>
    <col min="14593" max="14593" width="23.81640625" bestFit="1" customWidth="1"/>
    <col min="14594" max="14594" width="7.1796875" bestFit="1" customWidth="1"/>
    <col min="14595" max="14595" width="9.26953125" bestFit="1" customWidth="1"/>
    <col min="14596" max="14596" width="11" bestFit="1" customWidth="1"/>
    <col min="14597" max="14597" width="20.26953125" bestFit="1" customWidth="1"/>
    <col min="14831" max="14831" width="30.54296875" bestFit="1" customWidth="1"/>
    <col min="14832" max="14832" width="30.54296875" customWidth="1"/>
    <col min="14833" max="14833" width="22.54296875" bestFit="1" customWidth="1"/>
    <col min="14834" max="14834" width="20" bestFit="1" customWidth="1"/>
    <col min="14835" max="14835" width="16.453125" customWidth="1"/>
    <col min="14839" max="14839" width="15.26953125" bestFit="1" customWidth="1"/>
    <col min="14840" max="14840" width="46.7265625" bestFit="1" customWidth="1"/>
    <col min="14841" max="14841" width="41" bestFit="1" customWidth="1"/>
    <col min="14842" max="14842" width="13.81640625" bestFit="1" customWidth="1"/>
    <col min="14843" max="14843" width="9.26953125" bestFit="1" customWidth="1"/>
    <col min="14844" max="14844" width="17.453125" bestFit="1" customWidth="1"/>
    <col min="14845" max="14845" width="60.7265625" bestFit="1" customWidth="1"/>
    <col min="14846" max="14846" width="13.81640625" bestFit="1" customWidth="1"/>
    <col min="14847" max="14847" width="9.26953125" bestFit="1" customWidth="1"/>
    <col min="14848" max="14848" width="17.1796875" bestFit="1" customWidth="1"/>
    <col min="14849" max="14849" width="23.81640625" bestFit="1" customWidth="1"/>
    <col min="14850" max="14850" width="7.1796875" bestFit="1" customWidth="1"/>
    <col min="14851" max="14851" width="9.26953125" bestFit="1" customWidth="1"/>
    <col min="14852" max="14852" width="11" bestFit="1" customWidth="1"/>
    <col min="14853" max="14853" width="20.26953125" bestFit="1" customWidth="1"/>
    <col min="15087" max="15087" width="30.54296875" bestFit="1" customWidth="1"/>
    <col min="15088" max="15088" width="30.54296875" customWidth="1"/>
    <col min="15089" max="15089" width="22.54296875" bestFit="1" customWidth="1"/>
    <col min="15090" max="15090" width="20" bestFit="1" customWidth="1"/>
    <col min="15091" max="15091" width="16.453125" customWidth="1"/>
    <col min="15095" max="15095" width="15.26953125" bestFit="1" customWidth="1"/>
    <col min="15096" max="15096" width="46.7265625" bestFit="1" customWidth="1"/>
    <col min="15097" max="15097" width="41" bestFit="1" customWidth="1"/>
    <col min="15098" max="15098" width="13.81640625" bestFit="1" customWidth="1"/>
    <col min="15099" max="15099" width="9.26953125" bestFit="1" customWidth="1"/>
    <col min="15100" max="15100" width="17.453125" bestFit="1" customWidth="1"/>
    <col min="15101" max="15101" width="60.7265625" bestFit="1" customWidth="1"/>
    <col min="15102" max="15102" width="13.81640625" bestFit="1" customWidth="1"/>
    <col min="15103" max="15103" width="9.26953125" bestFit="1" customWidth="1"/>
    <col min="15104" max="15104" width="17.1796875" bestFit="1" customWidth="1"/>
    <col min="15105" max="15105" width="23.81640625" bestFit="1" customWidth="1"/>
    <col min="15106" max="15106" width="7.1796875" bestFit="1" customWidth="1"/>
    <col min="15107" max="15107" width="9.26953125" bestFit="1" customWidth="1"/>
    <col min="15108" max="15108" width="11" bestFit="1" customWidth="1"/>
    <col min="15109" max="15109" width="20.26953125" bestFit="1" customWidth="1"/>
    <col min="15343" max="15343" width="30.54296875" bestFit="1" customWidth="1"/>
    <col min="15344" max="15344" width="30.54296875" customWidth="1"/>
    <col min="15345" max="15345" width="22.54296875" bestFit="1" customWidth="1"/>
    <col min="15346" max="15346" width="20" bestFit="1" customWidth="1"/>
    <col min="15347" max="15347" width="16.453125" customWidth="1"/>
    <col min="15351" max="15351" width="15.26953125" bestFit="1" customWidth="1"/>
    <col min="15352" max="15352" width="46.7265625" bestFit="1" customWidth="1"/>
    <col min="15353" max="15353" width="41" bestFit="1" customWidth="1"/>
    <col min="15354" max="15354" width="13.81640625" bestFit="1" customWidth="1"/>
    <col min="15355" max="15355" width="9.26953125" bestFit="1" customWidth="1"/>
    <col min="15356" max="15356" width="17.453125" bestFit="1" customWidth="1"/>
    <col min="15357" max="15357" width="60.7265625" bestFit="1" customWidth="1"/>
    <col min="15358" max="15358" width="13.81640625" bestFit="1" customWidth="1"/>
    <col min="15359" max="15359" width="9.26953125" bestFit="1" customWidth="1"/>
    <col min="15360" max="15360" width="17.1796875" bestFit="1" customWidth="1"/>
    <col min="15361" max="15361" width="23.81640625" bestFit="1" customWidth="1"/>
    <col min="15362" max="15362" width="7.1796875" bestFit="1" customWidth="1"/>
    <col min="15363" max="15363" width="9.26953125" bestFit="1" customWidth="1"/>
    <col min="15364" max="15364" width="11" bestFit="1" customWidth="1"/>
    <col min="15365" max="15365" width="20.26953125" bestFit="1" customWidth="1"/>
    <col min="15599" max="15599" width="30.54296875" bestFit="1" customWidth="1"/>
    <col min="15600" max="15600" width="30.54296875" customWidth="1"/>
    <col min="15601" max="15601" width="22.54296875" bestFit="1" customWidth="1"/>
    <col min="15602" max="15602" width="20" bestFit="1" customWidth="1"/>
    <col min="15603" max="15603" width="16.453125" customWidth="1"/>
    <col min="15607" max="15607" width="15.26953125" bestFit="1" customWidth="1"/>
    <col min="15608" max="15608" width="46.7265625" bestFit="1" customWidth="1"/>
    <col min="15609" max="15609" width="41" bestFit="1" customWidth="1"/>
    <col min="15610" max="15610" width="13.81640625" bestFit="1" customWidth="1"/>
    <col min="15611" max="15611" width="9.26953125" bestFit="1" customWidth="1"/>
    <col min="15612" max="15612" width="17.453125" bestFit="1" customWidth="1"/>
    <col min="15613" max="15613" width="60.7265625" bestFit="1" customWidth="1"/>
    <col min="15614" max="15614" width="13.81640625" bestFit="1" customWidth="1"/>
    <col min="15615" max="15615" width="9.26953125" bestFit="1" customWidth="1"/>
    <col min="15616" max="15616" width="17.1796875" bestFit="1" customWidth="1"/>
    <col min="15617" max="15617" width="23.81640625" bestFit="1" customWidth="1"/>
    <col min="15618" max="15618" width="7.1796875" bestFit="1" customWidth="1"/>
    <col min="15619" max="15619" width="9.26953125" bestFit="1" customWidth="1"/>
    <col min="15620" max="15620" width="11" bestFit="1" customWidth="1"/>
    <col min="15621" max="15621" width="20.26953125" bestFit="1" customWidth="1"/>
    <col min="15855" max="15855" width="30.54296875" bestFit="1" customWidth="1"/>
    <col min="15856" max="15856" width="30.54296875" customWidth="1"/>
    <col min="15857" max="15857" width="22.54296875" bestFit="1" customWidth="1"/>
    <col min="15858" max="15858" width="20" bestFit="1" customWidth="1"/>
    <col min="15859" max="15859" width="16.453125" customWidth="1"/>
    <col min="15863" max="15863" width="15.26953125" bestFit="1" customWidth="1"/>
    <col min="15864" max="15864" width="46.7265625" bestFit="1" customWidth="1"/>
    <col min="15865" max="15865" width="41" bestFit="1" customWidth="1"/>
    <col min="15866" max="15866" width="13.81640625" bestFit="1" customWidth="1"/>
    <col min="15867" max="15867" width="9.26953125" bestFit="1" customWidth="1"/>
    <col min="15868" max="15868" width="17.453125" bestFit="1" customWidth="1"/>
    <col min="15869" max="15869" width="60.7265625" bestFit="1" customWidth="1"/>
    <col min="15870" max="15870" width="13.81640625" bestFit="1" customWidth="1"/>
    <col min="15871" max="15871" width="9.26953125" bestFit="1" customWidth="1"/>
    <col min="15872" max="15872" width="17.1796875" bestFit="1" customWidth="1"/>
    <col min="15873" max="15873" width="23.81640625" bestFit="1" customWidth="1"/>
    <col min="15874" max="15874" width="7.1796875" bestFit="1" customWidth="1"/>
    <col min="15875" max="15875" width="9.26953125" bestFit="1" customWidth="1"/>
    <col min="15876" max="15876" width="11" bestFit="1" customWidth="1"/>
    <col min="15877" max="15877" width="20.26953125" bestFit="1" customWidth="1"/>
    <col min="16111" max="16111" width="30.54296875" bestFit="1" customWidth="1"/>
    <col min="16112" max="16112" width="30.54296875" customWidth="1"/>
    <col min="16113" max="16113" width="22.54296875" bestFit="1" customWidth="1"/>
    <col min="16114" max="16114" width="20" bestFit="1" customWidth="1"/>
    <col min="16115" max="16115" width="16.453125" customWidth="1"/>
    <col min="16119" max="16119" width="15.26953125" bestFit="1" customWidth="1"/>
    <col min="16120" max="16120" width="46.7265625" bestFit="1" customWidth="1"/>
    <col min="16121" max="16121" width="41" bestFit="1" customWidth="1"/>
    <col min="16122" max="16122" width="13.81640625" bestFit="1" customWidth="1"/>
    <col min="16123" max="16123" width="9.26953125" bestFit="1" customWidth="1"/>
    <col min="16124" max="16124" width="17.453125" bestFit="1" customWidth="1"/>
    <col min="16125" max="16125" width="60.7265625" bestFit="1" customWidth="1"/>
    <col min="16126" max="16126" width="13.81640625" bestFit="1" customWidth="1"/>
    <col min="16127" max="16127" width="9.26953125" bestFit="1" customWidth="1"/>
    <col min="16128" max="16128" width="17.1796875" bestFit="1" customWidth="1"/>
    <col min="16129" max="16129" width="23.81640625" bestFit="1" customWidth="1"/>
    <col min="16130" max="16130" width="7.1796875" bestFit="1" customWidth="1"/>
    <col min="16131" max="16131" width="9.26953125" bestFit="1" customWidth="1"/>
    <col min="16132" max="16132" width="11" bestFit="1" customWidth="1"/>
    <col min="16133" max="16133" width="20.26953125" bestFit="1" customWidth="1"/>
  </cols>
  <sheetData>
    <row r="1" spans="1:22" ht="54.75" customHeight="1" thickBot="1">
      <c r="A1" s="169" t="s">
        <v>516</v>
      </c>
      <c r="B1" s="141" t="s">
        <v>842</v>
      </c>
      <c r="C1" s="142" t="s">
        <v>410</v>
      </c>
      <c r="D1" s="143" t="s">
        <v>411</v>
      </c>
      <c r="E1" s="143" t="s">
        <v>412</v>
      </c>
      <c r="F1" s="144" t="s">
        <v>413</v>
      </c>
      <c r="G1" s="149" t="s">
        <v>23</v>
      </c>
      <c r="H1" s="143" t="s">
        <v>26</v>
      </c>
      <c r="I1" s="143" t="s">
        <v>21</v>
      </c>
      <c r="J1" s="144" t="s">
        <v>941</v>
      </c>
      <c r="K1" s="149" t="s">
        <v>414</v>
      </c>
      <c r="L1" s="144" t="s">
        <v>415</v>
      </c>
      <c r="M1" s="149" t="s">
        <v>19</v>
      </c>
      <c r="N1" s="144" t="s">
        <v>416</v>
      </c>
      <c r="O1" s="144" t="s">
        <v>942</v>
      </c>
      <c r="P1" s="158" t="s">
        <v>512</v>
      </c>
      <c r="Q1" s="148" t="s">
        <v>735</v>
      </c>
      <c r="R1" s="149" t="s">
        <v>19</v>
      </c>
      <c r="S1" s="144" t="s">
        <v>416</v>
      </c>
      <c r="T1" s="153" t="s">
        <v>943</v>
      </c>
      <c r="U1" s="149" t="s">
        <v>581</v>
      </c>
      <c r="V1" s="144" t="s">
        <v>582</v>
      </c>
    </row>
    <row r="2" spans="1:22" s="105" customFormat="1" ht="150" customHeight="1">
      <c r="A2" s="340">
        <v>1</v>
      </c>
      <c r="B2" s="314" t="s">
        <v>743</v>
      </c>
      <c r="C2" s="317" t="s">
        <v>552</v>
      </c>
      <c r="D2" s="317" t="s">
        <v>417</v>
      </c>
      <c r="E2" s="317" t="s">
        <v>418</v>
      </c>
      <c r="F2" s="320" t="s">
        <v>423</v>
      </c>
      <c r="G2" s="335">
        <v>2</v>
      </c>
      <c r="H2" s="336">
        <v>2</v>
      </c>
      <c r="I2" s="336">
        <v>2</v>
      </c>
      <c r="J2" s="334">
        <f>G2*H2*I2</f>
        <v>8</v>
      </c>
      <c r="K2" s="161" t="s">
        <v>657</v>
      </c>
      <c r="L2" s="162" t="s">
        <v>738</v>
      </c>
      <c r="M2" s="161">
        <v>3</v>
      </c>
      <c r="N2" s="162">
        <v>3</v>
      </c>
      <c r="O2" s="263">
        <f>J2*M2*N2</f>
        <v>72</v>
      </c>
      <c r="P2" s="159" t="s">
        <v>980</v>
      </c>
      <c r="Q2" s="151" t="s">
        <v>739</v>
      </c>
      <c r="R2" s="154">
        <v>2</v>
      </c>
      <c r="S2" s="155">
        <v>2</v>
      </c>
      <c r="T2" s="261">
        <f>J2*R2*S2</f>
        <v>32</v>
      </c>
      <c r="U2" s="150"/>
      <c r="V2" s="184" t="s">
        <v>583</v>
      </c>
    </row>
    <row r="3" spans="1:22" ht="148" customHeight="1">
      <c r="A3" s="337"/>
      <c r="B3" s="338"/>
      <c r="C3" s="339"/>
      <c r="D3" s="339"/>
      <c r="E3" s="339"/>
      <c r="F3" s="333"/>
      <c r="G3" s="322"/>
      <c r="H3" s="325"/>
      <c r="I3" s="325"/>
      <c r="J3" s="328"/>
      <c r="K3" s="163" t="s">
        <v>419</v>
      </c>
      <c r="L3" s="164" t="s">
        <v>736</v>
      </c>
      <c r="M3" s="163">
        <v>3</v>
      </c>
      <c r="N3" s="164">
        <v>3</v>
      </c>
      <c r="O3" s="263">
        <f>J2*M3*N3</f>
        <v>72</v>
      </c>
      <c r="P3" s="160" t="s">
        <v>981</v>
      </c>
      <c r="Q3" s="152" t="s">
        <v>858</v>
      </c>
      <c r="R3" s="156">
        <v>2</v>
      </c>
      <c r="S3" s="157">
        <v>2</v>
      </c>
      <c r="T3" s="260">
        <f>J2*R2*S2</f>
        <v>32</v>
      </c>
      <c r="U3" s="150"/>
      <c r="V3" s="184" t="s">
        <v>583</v>
      </c>
    </row>
    <row r="4" spans="1:22" ht="55.5" customHeight="1">
      <c r="A4" s="337"/>
      <c r="B4" s="338"/>
      <c r="C4" s="339"/>
      <c r="D4" s="339"/>
      <c r="E4" s="339"/>
      <c r="F4" s="333"/>
      <c r="G4" s="322"/>
      <c r="H4" s="325"/>
      <c r="I4" s="325"/>
      <c r="J4" s="328"/>
      <c r="K4" s="163" t="s">
        <v>420</v>
      </c>
      <c r="L4" s="164" t="s">
        <v>436</v>
      </c>
      <c r="M4" s="163">
        <v>3</v>
      </c>
      <c r="N4" s="164">
        <v>2</v>
      </c>
      <c r="O4" s="263">
        <f>J2*M4*N4</f>
        <v>48</v>
      </c>
      <c r="P4" s="160" t="s">
        <v>686</v>
      </c>
      <c r="Q4" s="152" t="s">
        <v>741</v>
      </c>
      <c r="R4" s="156">
        <v>3</v>
      </c>
      <c r="S4" s="157">
        <v>1</v>
      </c>
      <c r="T4" s="260">
        <f>J2*R4*S4</f>
        <v>24</v>
      </c>
      <c r="U4" s="150"/>
      <c r="V4" s="184" t="s">
        <v>583</v>
      </c>
    </row>
    <row r="5" spans="1:22" ht="184" customHeight="1">
      <c r="A5" s="337"/>
      <c r="B5" s="338"/>
      <c r="C5" s="339"/>
      <c r="D5" s="339"/>
      <c r="E5" s="339"/>
      <c r="F5" s="333"/>
      <c r="G5" s="322"/>
      <c r="H5" s="325"/>
      <c r="I5" s="325"/>
      <c r="J5" s="328"/>
      <c r="K5" s="163" t="s">
        <v>421</v>
      </c>
      <c r="L5" s="164" t="s">
        <v>515</v>
      </c>
      <c r="M5" s="163">
        <v>3</v>
      </c>
      <c r="N5" s="164">
        <v>3</v>
      </c>
      <c r="O5" s="263">
        <f>J2*M5*N5</f>
        <v>72</v>
      </c>
      <c r="P5" s="160" t="s">
        <v>982</v>
      </c>
      <c r="Q5" s="152" t="s">
        <v>740</v>
      </c>
      <c r="R5" s="156">
        <v>2</v>
      </c>
      <c r="S5" s="157">
        <v>2</v>
      </c>
      <c r="T5" s="260">
        <f>J2*R5*S5</f>
        <v>32</v>
      </c>
      <c r="U5" s="150"/>
      <c r="V5" s="184" t="s">
        <v>583</v>
      </c>
    </row>
    <row r="6" spans="1:22" ht="137.25" customHeight="1">
      <c r="A6" s="337"/>
      <c r="B6" s="338"/>
      <c r="C6" s="339"/>
      <c r="D6" s="339"/>
      <c r="E6" s="339"/>
      <c r="F6" s="333"/>
      <c r="G6" s="322"/>
      <c r="H6" s="325"/>
      <c r="I6" s="325"/>
      <c r="J6" s="328"/>
      <c r="K6" s="163" t="s">
        <v>424</v>
      </c>
      <c r="L6" s="164" t="s">
        <v>737</v>
      </c>
      <c r="M6" s="163">
        <v>3</v>
      </c>
      <c r="N6" s="164">
        <v>3</v>
      </c>
      <c r="O6" s="263">
        <f>J2*M6*N6</f>
        <v>72</v>
      </c>
      <c r="P6" s="160" t="s">
        <v>872</v>
      </c>
      <c r="Q6" s="152" t="s">
        <v>873</v>
      </c>
      <c r="R6" s="156">
        <v>2</v>
      </c>
      <c r="S6" s="157">
        <v>2</v>
      </c>
      <c r="T6" s="260">
        <f>J2*R6*S6</f>
        <v>32</v>
      </c>
      <c r="U6" s="150"/>
      <c r="V6" s="184"/>
    </row>
    <row r="7" spans="1:22" ht="186" customHeight="1">
      <c r="A7" s="337"/>
      <c r="B7" s="338"/>
      <c r="C7" s="339"/>
      <c r="D7" s="339"/>
      <c r="E7" s="339"/>
      <c r="F7" s="333"/>
      <c r="G7" s="323"/>
      <c r="H7" s="326"/>
      <c r="I7" s="326"/>
      <c r="J7" s="329"/>
      <c r="K7" s="163" t="s">
        <v>422</v>
      </c>
      <c r="L7" s="164" t="s">
        <v>789</v>
      </c>
      <c r="M7" s="163">
        <v>2</v>
      </c>
      <c r="N7" s="164">
        <v>3</v>
      </c>
      <c r="O7" s="263">
        <f>J2*M7*N7</f>
        <v>48</v>
      </c>
      <c r="P7" s="160" t="s">
        <v>952</v>
      </c>
      <c r="Q7" s="152" t="s">
        <v>742</v>
      </c>
      <c r="R7" s="156">
        <v>2</v>
      </c>
      <c r="S7" s="157">
        <v>1</v>
      </c>
      <c r="T7" s="260">
        <f>J2*R7*S7</f>
        <v>16</v>
      </c>
      <c r="U7" s="150"/>
      <c r="V7" s="184" t="s">
        <v>583</v>
      </c>
    </row>
    <row r="8" spans="1:22" ht="29">
      <c r="A8" s="337">
        <v>2</v>
      </c>
      <c r="B8" s="338" t="s">
        <v>746</v>
      </c>
      <c r="C8" s="339" t="s">
        <v>552</v>
      </c>
      <c r="D8" s="339" t="s">
        <v>417</v>
      </c>
      <c r="E8" s="339" t="s">
        <v>418</v>
      </c>
      <c r="F8" s="333" t="s">
        <v>744</v>
      </c>
      <c r="G8" s="331">
        <v>1</v>
      </c>
      <c r="H8" s="332">
        <v>1</v>
      </c>
      <c r="I8" s="332">
        <v>1</v>
      </c>
      <c r="J8" s="330">
        <f>G8*H8*I8</f>
        <v>1</v>
      </c>
      <c r="K8" s="163" t="s">
        <v>420</v>
      </c>
      <c r="L8" s="164" t="s">
        <v>436</v>
      </c>
      <c r="M8" s="163">
        <v>3</v>
      </c>
      <c r="N8" s="164">
        <v>2</v>
      </c>
      <c r="O8" s="264">
        <f>J8*M8*N8</f>
        <v>6</v>
      </c>
      <c r="P8" s="160" t="s">
        <v>951</v>
      </c>
      <c r="Q8" s="152" t="s">
        <v>741</v>
      </c>
      <c r="R8" s="156">
        <v>2</v>
      </c>
      <c r="S8" s="157">
        <v>1</v>
      </c>
      <c r="T8" s="260">
        <f>J8*R8*S8</f>
        <v>2</v>
      </c>
      <c r="U8" s="150"/>
      <c r="V8" s="184" t="s">
        <v>583</v>
      </c>
    </row>
    <row r="9" spans="1:22" ht="91">
      <c r="A9" s="337"/>
      <c r="B9" s="338"/>
      <c r="C9" s="339"/>
      <c r="D9" s="339"/>
      <c r="E9" s="339"/>
      <c r="F9" s="333"/>
      <c r="G9" s="331"/>
      <c r="H9" s="332"/>
      <c r="I9" s="332"/>
      <c r="J9" s="330"/>
      <c r="K9" s="163" t="s">
        <v>422</v>
      </c>
      <c r="L9" s="164" t="s">
        <v>790</v>
      </c>
      <c r="M9" s="163">
        <v>3</v>
      </c>
      <c r="N9" s="164">
        <v>2</v>
      </c>
      <c r="O9" s="264">
        <f>J8*M9*N9</f>
        <v>6</v>
      </c>
      <c r="P9" s="160" t="s">
        <v>791</v>
      </c>
      <c r="Q9" s="152" t="s">
        <v>912</v>
      </c>
      <c r="R9" s="156">
        <v>1</v>
      </c>
      <c r="S9" s="157">
        <v>1</v>
      </c>
      <c r="T9" s="260">
        <f>J8*R9*S9</f>
        <v>1</v>
      </c>
      <c r="U9" s="150"/>
      <c r="V9" s="184"/>
    </row>
    <row r="10" spans="1:22" ht="39">
      <c r="A10" s="337"/>
      <c r="B10" s="338"/>
      <c r="C10" s="339"/>
      <c r="D10" s="339"/>
      <c r="E10" s="339"/>
      <c r="F10" s="333"/>
      <c r="G10" s="331"/>
      <c r="H10" s="332"/>
      <c r="I10" s="332"/>
      <c r="J10" s="330"/>
      <c r="K10" s="163" t="s">
        <v>421</v>
      </c>
      <c r="L10" s="164" t="s">
        <v>419</v>
      </c>
      <c r="M10" s="163">
        <v>3</v>
      </c>
      <c r="N10" s="164">
        <v>2</v>
      </c>
      <c r="O10" s="264">
        <f>J8*M10*N10</f>
        <v>6</v>
      </c>
      <c r="P10" s="160" t="s">
        <v>747</v>
      </c>
      <c r="Q10" s="152" t="s">
        <v>792</v>
      </c>
      <c r="R10" s="156">
        <v>2</v>
      </c>
      <c r="S10" s="157">
        <v>1</v>
      </c>
      <c r="T10" s="260">
        <f>J8*R10*S10</f>
        <v>2</v>
      </c>
      <c r="U10" s="150"/>
      <c r="V10" s="184" t="s">
        <v>583</v>
      </c>
    </row>
    <row r="11" spans="1:22" ht="169">
      <c r="A11" s="309">
        <v>3</v>
      </c>
      <c r="B11" s="312" t="s">
        <v>788</v>
      </c>
      <c r="C11" s="315" t="s">
        <v>552</v>
      </c>
      <c r="D11" s="315" t="s">
        <v>417</v>
      </c>
      <c r="E11" s="315" t="s">
        <v>418</v>
      </c>
      <c r="F11" s="318" t="s">
        <v>423</v>
      </c>
      <c r="G11" s="321">
        <v>3</v>
      </c>
      <c r="H11" s="324">
        <v>3</v>
      </c>
      <c r="I11" s="324">
        <v>3</v>
      </c>
      <c r="J11" s="330">
        <f>G11*H11*I11</f>
        <v>27</v>
      </c>
      <c r="K11" s="163" t="s">
        <v>657</v>
      </c>
      <c r="L11" s="164" t="s">
        <v>738</v>
      </c>
      <c r="M11" s="163">
        <v>4</v>
      </c>
      <c r="N11" s="164">
        <v>4</v>
      </c>
      <c r="O11" s="262">
        <f>J11*M11*N11</f>
        <v>432</v>
      </c>
      <c r="P11" s="160" t="s">
        <v>980</v>
      </c>
      <c r="Q11" s="152" t="s">
        <v>739</v>
      </c>
      <c r="R11" s="156">
        <v>3</v>
      </c>
      <c r="S11" s="157">
        <v>3</v>
      </c>
      <c r="T11" s="259">
        <f>J11*R11*S11</f>
        <v>243</v>
      </c>
      <c r="U11" s="150"/>
      <c r="V11" s="184"/>
    </row>
    <row r="12" spans="1:22" ht="156">
      <c r="A12" s="310"/>
      <c r="B12" s="313"/>
      <c r="C12" s="316"/>
      <c r="D12" s="316"/>
      <c r="E12" s="316"/>
      <c r="F12" s="319"/>
      <c r="G12" s="322"/>
      <c r="H12" s="325"/>
      <c r="I12" s="325"/>
      <c r="J12" s="330"/>
      <c r="K12" s="163" t="s">
        <v>419</v>
      </c>
      <c r="L12" s="164" t="s">
        <v>736</v>
      </c>
      <c r="M12" s="163">
        <v>4</v>
      </c>
      <c r="N12" s="164">
        <v>3</v>
      </c>
      <c r="O12" s="262">
        <f>J11*M12*N12</f>
        <v>324</v>
      </c>
      <c r="P12" s="160" t="s">
        <v>981</v>
      </c>
      <c r="Q12" s="152" t="s">
        <v>858</v>
      </c>
      <c r="R12" s="156">
        <v>2</v>
      </c>
      <c r="S12" s="157">
        <v>3</v>
      </c>
      <c r="T12" s="259">
        <f>J11*R12*S12</f>
        <v>162</v>
      </c>
      <c r="U12" s="150"/>
      <c r="V12" s="184"/>
    </row>
    <row r="13" spans="1:22" ht="195">
      <c r="A13" s="310"/>
      <c r="B13" s="313"/>
      <c r="C13" s="316"/>
      <c r="D13" s="316"/>
      <c r="E13" s="316"/>
      <c r="F13" s="319"/>
      <c r="G13" s="322"/>
      <c r="H13" s="325"/>
      <c r="I13" s="325"/>
      <c r="J13" s="330"/>
      <c r="K13" s="163" t="s">
        <v>421</v>
      </c>
      <c r="L13" s="164" t="s">
        <v>515</v>
      </c>
      <c r="M13" s="163">
        <v>3</v>
      </c>
      <c r="N13" s="164">
        <v>3</v>
      </c>
      <c r="O13" s="264">
        <f>J11*M13*N13</f>
        <v>243</v>
      </c>
      <c r="P13" s="160" t="s">
        <v>982</v>
      </c>
      <c r="Q13" s="152" t="s">
        <v>740</v>
      </c>
      <c r="R13" s="156">
        <v>2</v>
      </c>
      <c r="S13" s="157">
        <v>3</v>
      </c>
      <c r="T13" s="259">
        <f>J11*R13*S13</f>
        <v>162</v>
      </c>
      <c r="U13" s="150"/>
      <c r="V13" s="184"/>
    </row>
    <row r="14" spans="1:22" ht="91">
      <c r="A14" s="310"/>
      <c r="B14" s="313"/>
      <c r="C14" s="316"/>
      <c r="D14" s="316"/>
      <c r="E14" s="316"/>
      <c r="F14" s="319"/>
      <c r="G14" s="322"/>
      <c r="H14" s="325"/>
      <c r="I14" s="325"/>
      <c r="J14" s="330"/>
      <c r="K14" s="163" t="s">
        <v>424</v>
      </c>
      <c r="L14" s="164" t="s">
        <v>737</v>
      </c>
      <c r="M14" s="163">
        <v>3</v>
      </c>
      <c r="N14" s="164">
        <v>3</v>
      </c>
      <c r="O14" s="264">
        <f>J11*M14*N14</f>
        <v>243</v>
      </c>
      <c r="P14" s="160" t="s">
        <v>953</v>
      </c>
      <c r="Q14" s="152" t="s">
        <v>873</v>
      </c>
      <c r="R14" s="156">
        <v>2</v>
      </c>
      <c r="S14" s="157">
        <v>2</v>
      </c>
      <c r="T14" s="260">
        <f>J11*R14*S14</f>
        <v>108</v>
      </c>
      <c r="U14" s="150"/>
      <c r="V14" s="184"/>
    </row>
    <row r="15" spans="1:22" ht="29">
      <c r="A15" s="337">
        <v>4</v>
      </c>
      <c r="B15" s="338" t="s">
        <v>745</v>
      </c>
      <c r="C15" s="339" t="s">
        <v>552</v>
      </c>
      <c r="D15" s="339" t="s">
        <v>773</v>
      </c>
      <c r="E15" s="339" t="s">
        <v>773</v>
      </c>
      <c r="F15" s="333" t="s">
        <v>744</v>
      </c>
      <c r="G15" s="331">
        <v>1</v>
      </c>
      <c r="H15" s="332">
        <v>1</v>
      </c>
      <c r="I15" s="332">
        <v>2</v>
      </c>
      <c r="J15" s="330">
        <f>G15*H15*I15</f>
        <v>2</v>
      </c>
      <c r="K15" s="163" t="s">
        <v>427</v>
      </c>
      <c r="L15" s="164" t="s">
        <v>436</v>
      </c>
      <c r="M15" s="163">
        <v>2</v>
      </c>
      <c r="N15" s="164">
        <v>2</v>
      </c>
      <c r="O15" s="265">
        <f>J15*M15*N15</f>
        <v>8</v>
      </c>
      <c r="P15" s="160" t="s">
        <v>435</v>
      </c>
      <c r="Q15" s="152" t="s">
        <v>741</v>
      </c>
      <c r="R15" s="156">
        <v>1</v>
      </c>
      <c r="S15" s="157">
        <v>1</v>
      </c>
      <c r="T15" s="260">
        <f>J15*R15*S15</f>
        <v>2</v>
      </c>
      <c r="U15" s="150"/>
      <c r="V15" s="184" t="s">
        <v>583</v>
      </c>
    </row>
    <row r="16" spans="1:22" ht="65">
      <c r="A16" s="337"/>
      <c r="B16" s="338"/>
      <c r="C16" s="339"/>
      <c r="D16" s="339"/>
      <c r="E16" s="339"/>
      <c r="F16" s="333"/>
      <c r="G16" s="331"/>
      <c r="H16" s="332"/>
      <c r="I16" s="332"/>
      <c r="J16" s="330"/>
      <c r="K16" s="163" t="s">
        <v>419</v>
      </c>
      <c r="L16" s="164" t="s">
        <v>749</v>
      </c>
      <c r="M16" s="163">
        <v>2</v>
      </c>
      <c r="N16" s="164">
        <v>2</v>
      </c>
      <c r="O16" s="265">
        <f>J15*M16*N16</f>
        <v>8</v>
      </c>
      <c r="P16" s="160" t="s">
        <v>954</v>
      </c>
      <c r="Q16" s="152" t="s">
        <v>748</v>
      </c>
      <c r="R16" s="156">
        <v>1</v>
      </c>
      <c r="S16" s="157">
        <v>2</v>
      </c>
      <c r="T16" s="260">
        <f>J15*R16*S16</f>
        <v>4</v>
      </c>
      <c r="U16" s="150"/>
      <c r="V16" s="184" t="s">
        <v>583</v>
      </c>
    </row>
    <row r="17" spans="1:73" s="105" customFormat="1" ht="91">
      <c r="A17" s="337">
        <v>5</v>
      </c>
      <c r="B17" s="338" t="s">
        <v>793</v>
      </c>
      <c r="C17" s="339" t="s">
        <v>552</v>
      </c>
      <c r="D17" s="339" t="s">
        <v>417</v>
      </c>
      <c r="E17" s="339" t="s">
        <v>417</v>
      </c>
      <c r="F17" s="333" t="s">
        <v>744</v>
      </c>
      <c r="G17" s="331">
        <v>2</v>
      </c>
      <c r="H17" s="332">
        <v>2</v>
      </c>
      <c r="I17" s="332">
        <v>3</v>
      </c>
      <c r="J17" s="330">
        <f>G17*H17*I17</f>
        <v>12</v>
      </c>
      <c r="K17" s="163" t="s">
        <v>419</v>
      </c>
      <c r="L17" s="164" t="s">
        <v>426</v>
      </c>
      <c r="M17" s="163">
        <v>2</v>
      </c>
      <c r="N17" s="164">
        <v>3</v>
      </c>
      <c r="O17" s="264">
        <f>J17*M17*N17</f>
        <v>72</v>
      </c>
      <c r="P17" s="160" t="s">
        <v>752</v>
      </c>
      <c r="Q17" s="152" t="s">
        <v>910</v>
      </c>
      <c r="R17" s="156">
        <v>2</v>
      </c>
      <c r="S17" s="157">
        <v>2</v>
      </c>
      <c r="T17" s="260">
        <f>J17*R17*S17</f>
        <v>48</v>
      </c>
      <c r="U17" s="150"/>
      <c r="V17" s="184" t="s">
        <v>583</v>
      </c>
    </row>
    <row r="18" spans="1:73" ht="52">
      <c r="A18" s="337"/>
      <c r="B18" s="338"/>
      <c r="C18" s="339"/>
      <c r="D18" s="339"/>
      <c r="E18" s="339"/>
      <c r="F18" s="333"/>
      <c r="G18" s="331"/>
      <c r="H18" s="332"/>
      <c r="I18" s="332"/>
      <c r="J18" s="330"/>
      <c r="K18" s="163" t="s">
        <v>422</v>
      </c>
      <c r="L18" s="164" t="s">
        <v>438</v>
      </c>
      <c r="M18" s="163">
        <v>2</v>
      </c>
      <c r="N18" s="164">
        <v>2</v>
      </c>
      <c r="O18" s="265">
        <f>J17*M18*N18</f>
        <v>48</v>
      </c>
      <c r="P18" s="160" t="s">
        <v>750</v>
      </c>
      <c r="Q18" s="152" t="s">
        <v>911</v>
      </c>
      <c r="R18" s="156">
        <v>1</v>
      </c>
      <c r="S18" s="157">
        <v>2</v>
      </c>
      <c r="T18" s="260">
        <f>J17*R18*S18</f>
        <v>24</v>
      </c>
      <c r="U18" s="150"/>
      <c r="V18" s="184" t="s">
        <v>583</v>
      </c>
    </row>
    <row r="19" spans="1:73" ht="26">
      <c r="A19" s="337"/>
      <c r="B19" s="338"/>
      <c r="C19" s="339"/>
      <c r="D19" s="339"/>
      <c r="E19" s="339"/>
      <c r="F19" s="333"/>
      <c r="G19" s="331"/>
      <c r="H19" s="332"/>
      <c r="I19" s="332"/>
      <c r="J19" s="330"/>
      <c r="K19" s="163" t="s">
        <v>950</v>
      </c>
      <c r="L19" s="164" t="s">
        <v>436</v>
      </c>
      <c r="M19" s="163">
        <v>3</v>
      </c>
      <c r="N19" s="164">
        <v>4</v>
      </c>
      <c r="O19" s="262">
        <f>J17*M19*N19</f>
        <v>144</v>
      </c>
      <c r="P19" s="160" t="s">
        <v>437</v>
      </c>
      <c r="Q19" s="152" t="s">
        <v>741</v>
      </c>
      <c r="R19" s="156">
        <v>2</v>
      </c>
      <c r="S19" s="157">
        <v>2</v>
      </c>
      <c r="T19" s="260">
        <f>J17*R19*S19</f>
        <v>48</v>
      </c>
      <c r="U19" s="150"/>
      <c r="V19" s="184"/>
    </row>
    <row r="20" spans="1:73" ht="65">
      <c r="A20" s="337"/>
      <c r="B20" s="338"/>
      <c r="C20" s="339"/>
      <c r="D20" s="339"/>
      <c r="E20" s="339"/>
      <c r="F20" s="333"/>
      <c r="G20" s="331"/>
      <c r="H20" s="332"/>
      <c r="I20" s="332"/>
      <c r="J20" s="330"/>
      <c r="K20" s="163" t="s">
        <v>513</v>
      </c>
      <c r="L20" s="164" t="s">
        <v>514</v>
      </c>
      <c r="M20" s="163">
        <v>3</v>
      </c>
      <c r="N20" s="164">
        <v>4</v>
      </c>
      <c r="O20" s="262">
        <f>J17*M20*N20</f>
        <v>144</v>
      </c>
      <c r="P20" s="160" t="s">
        <v>955</v>
      </c>
      <c r="Q20" s="152" t="s">
        <v>780</v>
      </c>
      <c r="R20" s="156">
        <v>2</v>
      </c>
      <c r="S20" s="157">
        <v>2</v>
      </c>
      <c r="T20" s="260">
        <f>J17*R20*S20</f>
        <v>48</v>
      </c>
      <c r="U20" s="150"/>
      <c r="V20" s="184"/>
    </row>
    <row r="21" spans="1:73" ht="141.5" customHeight="1">
      <c r="A21" s="337"/>
      <c r="B21" s="338"/>
      <c r="C21" s="339"/>
      <c r="D21" s="339"/>
      <c r="E21" s="339"/>
      <c r="F21" s="333"/>
      <c r="G21" s="331"/>
      <c r="H21" s="332"/>
      <c r="I21" s="332"/>
      <c r="J21" s="330"/>
      <c r="K21" s="163" t="s">
        <v>753</v>
      </c>
      <c r="L21" s="164" t="s">
        <v>781</v>
      </c>
      <c r="M21" s="163">
        <v>3</v>
      </c>
      <c r="N21" s="164">
        <v>3</v>
      </c>
      <c r="O21" s="264">
        <f>J17*M21*N21</f>
        <v>108</v>
      </c>
      <c r="P21" s="160" t="s">
        <v>983</v>
      </c>
      <c r="Q21" s="152" t="s">
        <v>782</v>
      </c>
      <c r="R21" s="156">
        <v>2</v>
      </c>
      <c r="S21" s="157">
        <v>2</v>
      </c>
      <c r="T21" s="260">
        <f>J17*R21*S21</f>
        <v>48</v>
      </c>
      <c r="U21" s="150"/>
      <c r="V21" s="184" t="s">
        <v>583</v>
      </c>
    </row>
    <row r="22" spans="1:73" ht="68.5" customHeight="1">
      <c r="A22" s="309">
        <v>6</v>
      </c>
      <c r="B22" s="312" t="s">
        <v>826</v>
      </c>
      <c r="C22" s="315" t="s">
        <v>552</v>
      </c>
      <c r="D22" s="315" t="s">
        <v>417</v>
      </c>
      <c r="E22" s="315" t="s">
        <v>418</v>
      </c>
      <c r="F22" s="318" t="s">
        <v>744</v>
      </c>
      <c r="G22" s="321">
        <v>1</v>
      </c>
      <c r="H22" s="324">
        <v>1</v>
      </c>
      <c r="I22" s="324">
        <v>2</v>
      </c>
      <c r="J22" s="327">
        <f>G22*H22*I22</f>
        <v>2</v>
      </c>
      <c r="K22" s="163" t="s">
        <v>419</v>
      </c>
      <c r="L22" s="164" t="s">
        <v>692</v>
      </c>
      <c r="M22" s="163">
        <v>2</v>
      </c>
      <c r="N22" s="164">
        <v>2</v>
      </c>
      <c r="O22" s="265">
        <f>J22*M22*N22</f>
        <v>8</v>
      </c>
      <c r="P22" s="160" t="s">
        <v>693</v>
      </c>
      <c r="Q22" s="152" t="s">
        <v>859</v>
      </c>
      <c r="R22" s="156">
        <v>1</v>
      </c>
      <c r="S22" s="157">
        <v>1</v>
      </c>
      <c r="T22" s="260">
        <f>J22*R22*S22</f>
        <v>2</v>
      </c>
      <c r="U22" s="150"/>
      <c r="V22" s="184"/>
    </row>
    <row r="23" spans="1:73" ht="65">
      <c r="A23" s="310"/>
      <c r="B23" s="313"/>
      <c r="C23" s="316"/>
      <c r="D23" s="316"/>
      <c r="E23" s="316"/>
      <c r="F23" s="319"/>
      <c r="G23" s="322"/>
      <c r="H23" s="325"/>
      <c r="I23" s="325"/>
      <c r="J23" s="328"/>
      <c r="K23" s="163" t="s">
        <v>420</v>
      </c>
      <c r="L23" s="164" t="s">
        <v>694</v>
      </c>
      <c r="M23" s="163">
        <v>3</v>
      </c>
      <c r="N23" s="164">
        <v>1</v>
      </c>
      <c r="O23" s="265">
        <f>J22*M23*N23</f>
        <v>6</v>
      </c>
      <c r="P23" s="160" t="s">
        <v>695</v>
      </c>
      <c r="Q23" s="152" t="s">
        <v>827</v>
      </c>
      <c r="R23" s="156">
        <v>2</v>
      </c>
      <c r="S23" s="157">
        <v>1</v>
      </c>
      <c r="T23" s="260">
        <f>J22*R23*S23</f>
        <v>4</v>
      </c>
      <c r="U23" s="150"/>
      <c r="V23" s="184"/>
    </row>
    <row r="24" spans="1:73" s="107" customFormat="1" ht="78">
      <c r="A24" s="337">
        <v>7</v>
      </c>
      <c r="B24" s="338" t="s">
        <v>757</v>
      </c>
      <c r="C24" s="339" t="s">
        <v>552</v>
      </c>
      <c r="D24" s="339" t="s">
        <v>417</v>
      </c>
      <c r="E24" s="339" t="s">
        <v>417</v>
      </c>
      <c r="F24" s="333" t="s">
        <v>744</v>
      </c>
      <c r="G24" s="331">
        <v>1</v>
      </c>
      <c r="H24" s="332">
        <v>1</v>
      </c>
      <c r="I24" s="332">
        <v>3</v>
      </c>
      <c r="J24" s="330">
        <f>G24*H24*I24</f>
        <v>3</v>
      </c>
      <c r="K24" s="163" t="s">
        <v>428</v>
      </c>
      <c r="L24" s="164" t="s">
        <v>429</v>
      </c>
      <c r="M24" s="163">
        <v>2</v>
      </c>
      <c r="N24" s="164">
        <v>3</v>
      </c>
      <c r="O24" s="264">
        <f>J24*M24*N24</f>
        <v>18</v>
      </c>
      <c r="P24" s="160" t="s">
        <v>754</v>
      </c>
      <c r="Q24" s="152" t="s">
        <v>756</v>
      </c>
      <c r="R24" s="156">
        <v>2</v>
      </c>
      <c r="S24" s="157">
        <v>1</v>
      </c>
      <c r="T24" s="260">
        <f>J24*R24*S24</f>
        <v>6</v>
      </c>
      <c r="U24" s="150"/>
      <c r="V24" s="184" t="s">
        <v>583</v>
      </c>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row>
    <row r="25" spans="1:73" s="107" customFormat="1" ht="52">
      <c r="A25" s="337"/>
      <c r="B25" s="338"/>
      <c r="C25" s="339"/>
      <c r="D25" s="339"/>
      <c r="E25" s="339"/>
      <c r="F25" s="333"/>
      <c r="G25" s="331"/>
      <c r="H25" s="332"/>
      <c r="I25" s="332"/>
      <c r="J25" s="330"/>
      <c r="K25" s="163" t="s">
        <v>579</v>
      </c>
      <c r="L25" s="164" t="s">
        <v>498</v>
      </c>
      <c r="M25" s="163">
        <v>2</v>
      </c>
      <c r="N25" s="164">
        <v>3</v>
      </c>
      <c r="O25" s="264">
        <f>J24*M25*N25</f>
        <v>18</v>
      </c>
      <c r="P25" s="160" t="s">
        <v>755</v>
      </c>
      <c r="Q25" s="152" t="s">
        <v>756</v>
      </c>
      <c r="R25" s="156">
        <v>2</v>
      </c>
      <c r="S25" s="157">
        <v>1</v>
      </c>
      <c r="T25" s="260">
        <f>J24*R25*S25</f>
        <v>6</v>
      </c>
      <c r="U25" s="150"/>
      <c r="V25" s="184"/>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row>
    <row r="26" spans="1:73" s="107" customFormat="1" ht="117">
      <c r="A26" s="309">
        <v>8</v>
      </c>
      <c r="B26" s="312" t="s">
        <v>758</v>
      </c>
      <c r="C26" s="315" t="s">
        <v>552</v>
      </c>
      <c r="D26" s="315" t="s">
        <v>417</v>
      </c>
      <c r="E26" s="315" t="s">
        <v>418</v>
      </c>
      <c r="F26" s="318" t="s">
        <v>744</v>
      </c>
      <c r="G26" s="321">
        <v>1</v>
      </c>
      <c r="H26" s="324">
        <v>2</v>
      </c>
      <c r="I26" s="324">
        <v>3</v>
      </c>
      <c r="J26" s="327">
        <f>G26*H26*I26</f>
        <v>6</v>
      </c>
      <c r="K26" s="163" t="s">
        <v>657</v>
      </c>
      <c r="L26" s="164" t="s">
        <v>759</v>
      </c>
      <c r="M26" s="163">
        <v>3</v>
      </c>
      <c r="N26" s="164">
        <v>3</v>
      </c>
      <c r="O26" s="264">
        <f>J26*M26*N26</f>
        <v>54</v>
      </c>
      <c r="P26" s="160" t="s">
        <v>760</v>
      </c>
      <c r="Q26" s="152" t="s">
        <v>770</v>
      </c>
      <c r="R26" s="156">
        <v>2</v>
      </c>
      <c r="S26" s="157">
        <v>2</v>
      </c>
      <c r="T26" s="260">
        <f>J26*R26*S26</f>
        <v>24</v>
      </c>
      <c r="U26" s="150"/>
      <c r="V26" s="184"/>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row>
    <row r="27" spans="1:73" s="107" customFormat="1" ht="156">
      <c r="A27" s="310"/>
      <c r="B27" s="313"/>
      <c r="C27" s="316"/>
      <c r="D27" s="316"/>
      <c r="E27" s="316"/>
      <c r="F27" s="319"/>
      <c r="G27" s="322"/>
      <c r="H27" s="325"/>
      <c r="I27" s="325"/>
      <c r="J27" s="328"/>
      <c r="K27" s="163" t="s">
        <v>419</v>
      </c>
      <c r="L27" s="164" t="s">
        <v>761</v>
      </c>
      <c r="M27" s="163">
        <v>3</v>
      </c>
      <c r="N27" s="164">
        <v>3</v>
      </c>
      <c r="O27" s="264">
        <f>J26*M27*N27</f>
        <v>54</v>
      </c>
      <c r="P27" s="160" t="s">
        <v>762</v>
      </c>
      <c r="Q27" s="152" t="s">
        <v>860</v>
      </c>
      <c r="R27" s="156">
        <v>2</v>
      </c>
      <c r="S27" s="157">
        <v>3</v>
      </c>
      <c r="T27" s="259">
        <f>J26*R27*S27</f>
        <v>36</v>
      </c>
      <c r="U27" s="150"/>
      <c r="V27" s="184"/>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row>
    <row r="28" spans="1:73" s="106" customFormat="1" ht="57.5" customHeight="1">
      <c r="A28" s="337">
        <v>9</v>
      </c>
      <c r="B28" s="338" t="s">
        <v>804</v>
      </c>
      <c r="C28" s="339" t="s">
        <v>552</v>
      </c>
      <c r="D28" s="339" t="s">
        <v>417</v>
      </c>
      <c r="E28" s="339" t="s">
        <v>417</v>
      </c>
      <c r="F28" s="333" t="s">
        <v>417</v>
      </c>
      <c r="G28" s="331">
        <v>3</v>
      </c>
      <c r="H28" s="332">
        <v>3</v>
      </c>
      <c r="I28" s="332">
        <v>2</v>
      </c>
      <c r="J28" s="330">
        <f>G28*H28*I28</f>
        <v>18</v>
      </c>
      <c r="K28" s="163" t="s">
        <v>765</v>
      </c>
      <c r="L28" s="164" t="s">
        <v>436</v>
      </c>
      <c r="M28" s="163">
        <v>3</v>
      </c>
      <c r="N28" s="164">
        <v>2</v>
      </c>
      <c r="O28" s="264">
        <f>J28*M28*N28</f>
        <v>108</v>
      </c>
      <c r="P28" s="160" t="s">
        <v>763</v>
      </c>
      <c r="Q28" s="152" t="s">
        <v>764</v>
      </c>
      <c r="R28" s="156">
        <v>2</v>
      </c>
      <c r="S28" s="157">
        <v>1</v>
      </c>
      <c r="T28" s="260">
        <f>J28*R28*S28</f>
        <v>36</v>
      </c>
      <c r="U28" s="150"/>
      <c r="V28" s="184" t="s">
        <v>583</v>
      </c>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row>
    <row r="29" spans="1:73" s="106" customFormat="1" ht="39">
      <c r="A29" s="337"/>
      <c r="B29" s="338"/>
      <c r="C29" s="339"/>
      <c r="D29" s="339"/>
      <c r="E29" s="339"/>
      <c r="F29" s="333"/>
      <c r="G29" s="331"/>
      <c r="H29" s="332"/>
      <c r="I29" s="332"/>
      <c r="J29" s="330"/>
      <c r="K29" s="163" t="s">
        <v>513</v>
      </c>
      <c r="L29" s="164" t="s">
        <v>514</v>
      </c>
      <c r="M29" s="163">
        <v>3</v>
      </c>
      <c r="N29" s="164">
        <v>4</v>
      </c>
      <c r="O29" s="262">
        <f>J28*M29*N29</f>
        <v>216</v>
      </c>
      <c r="P29" s="160" t="s">
        <v>751</v>
      </c>
      <c r="Q29" s="152" t="s">
        <v>780</v>
      </c>
      <c r="R29" s="156">
        <v>2</v>
      </c>
      <c r="S29" s="157">
        <v>2</v>
      </c>
      <c r="T29" s="260">
        <f>J28*R29*S29</f>
        <v>72</v>
      </c>
      <c r="U29" s="150"/>
      <c r="V29" s="184"/>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row>
    <row r="30" spans="1:73" s="106" customFormat="1" ht="65">
      <c r="A30" s="337"/>
      <c r="B30" s="338"/>
      <c r="C30" s="339"/>
      <c r="D30" s="339"/>
      <c r="E30" s="339"/>
      <c r="F30" s="333"/>
      <c r="G30" s="331"/>
      <c r="H30" s="332"/>
      <c r="I30" s="332"/>
      <c r="J30" s="330"/>
      <c r="K30" s="163" t="s">
        <v>766</v>
      </c>
      <c r="L30" s="164" t="s">
        <v>767</v>
      </c>
      <c r="M30" s="163">
        <v>3</v>
      </c>
      <c r="N30" s="164">
        <v>3</v>
      </c>
      <c r="O30" s="264">
        <f>J28*M30*N30</f>
        <v>162</v>
      </c>
      <c r="P30" s="160" t="s">
        <v>768</v>
      </c>
      <c r="Q30" s="152" t="s">
        <v>771</v>
      </c>
      <c r="R30" s="156">
        <v>2</v>
      </c>
      <c r="S30" s="157">
        <v>2</v>
      </c>
      <c r="T30" s="260">
        <f>J28*R30*S30</f>
        <v>72</v>
      </c>
      <c r="U30" s="150"/>
      <c r="V30" s="184"/>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108"/>
      <c r="BO30" s="108"/>
      <c r="BP30" s="108"/>
      <c r="BQ30" s="108"/>
      <c r="BR30" s="108"/>
      <c r="BS30" s="108"/>
      <c r="BT30" s="108"/>
      <c r="BU30" s="108"/>
    </row>
    <row r="31" spans="1:73" s="106" customFormat="1" ht="52">
      <c r="A31" s="337"/>
      <c r="B31" s="338"/>
      <c r="C31" s="339"/>
      <c r="D31" s="339"/>
      <c r="E31" s="339"/>
      <c r="F31" s="333"/>
      <c r="G31" s="331"/>
      <c r="H31" s="332"/>
      <c r="I31" s="332"/>
      <c r="J31" s="330"/>
      <c r="K31" s="163" t="s">
        <v>649</v>
      </c>
      <c r="L31" s="164" t="s">
        <v>769</v>
      </c>
      <c r="M31" s="163">
        <v>3</v>
      </c>
      <c r="N31" s="164">
        <v>3</v>
      </c>
      <c r="O31" s="264">
        <f>J28*M31*N31</f>
        <v>162</v>
      </c>
      <c r="P31" s="160" t="s">
        <v>648</v>
      </c>
      <c r="Q31" s="152" t="s">
        <v>772</v>
      </c>
      <c r="R31" s="156">
        <v>2</v>
      </c>
      <c r="S31" s="157">
        <v>2</v>
      </c>
      <c r="T31" s="260">
        <f>J28*R31*S31</f>
        <v>72</v>
      </c>
      <c r="U31" s="150"/>
      <c r="V31" s="184"/>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108"/>
      <c r="BO31" s="108"/>
      <c r="BP31" s="108"/>
      <c r="BQ31" s="108"/>
      <c r="BR31" s="108"/>
      <c r="BS31" s="108"/>
      <c r="BT31" s="108"/>
      <c r="BU31" s="108"/>
    </row>
    <row r="32" spans="1:73" s="107" customFormat="1" ht="169">
      <c r="A32" s="337"/>
      <c r="B32" s="338"/>
      <c r="C32" s="339"/>
      <c r="D32" s="339"/>
      <c r="E32" s="339"/>
      <c r="F32" s="333"/>
      <c r="G32" s="331"/>
      <c r="H32" s="332"/>
      <c r="I32" s="332"/>
      <c r="J32" s="330"/>
      <c r="K32" s="163" t="s">
        <v>555</v>
      </c>
      <c r="L32" s="164" t="s">
        <v>805</v>
      </c>
      <c r="M32" s="163">
        <v>3</v>
      </c>
      <c r="N32" s="164">
        <v>2</v>
      </c>
      <c r="O32" s="264">
        <f>J28*M32*N32</f>
        <v>108</v>
      </c>
      <c r="P32" s="160" t="s">
        <v>806</v>
      </c>
      <c r="Q32" s="152" t="s">
        <v>807</v>
      </c>
      <c r="R32" s="156">
        <v>2</v>
      </c>
      <c r="S32" s="157">
        <v>2</v>
      </c>
      <c r="T32" s="260">
        <f>J28*R32*S32</f>
        <v>72</v>
      </c>
      <c r="U32" s="150"/>
      <c r="V32" s="184" t="s">
        <v>583</v>
      </c>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row>
    <row r="33" spans="1:73" ht="67" customHeight="1">
      <c r="A33" s="337">
        <v>10</v>
      </c>
      <c r="B33" s="338" t="s">
        <v>379</v>
      </c>
      <c r="C33" s="339" t="s">
        <v>552</v>
      </c>
      <c r="D33" s="339" t="s">
        <v>417</v>
      </c>
      <c r="E33" s="339" t="s">
        <v>417</v>
      </c>
      <c r="F33" s="333" t="s">
        <v>423</v>
      </c>
      <c r="G33" s="331">
        <v>3</v>
      </c>
      <c r="H33" s="332">
        <v>3</v>
      </c>
      <c r="I33" s="332">
        <v>3</v>
      </c>
      <c r="J33" s="330">
        <f>G33*H33*I33</f>
        <v>27</v>
      </c>
      <c r="K33" s="163" t="s">
        <v>557</v>
      </c>
      <c r="L33" s="164" t="s">
        <v>774</v>
      </c>
      <c r="M33" s="163">
        <v>3</v>
      </c>
      <c r="N33" s="164">
        <v>4</v>
      </c>
      <c r="O33" s="262">
        <f>J33*M33*N33</f>
        <v>324</v>
      </c>
      <c r="P33" s="160" t="s">
        <v>775</v>
      </c>
      <c r="Q33" s="152" t="s">
        <v>776</v>
      </c>
      <c r="R33" s="156">
        <v>2</v>
      </c>
      <c r="S33" s="157">
        <v>2</v>
      </c>
      <c r="T33" s="260">
        <f>J33*R33*S33</f>
        <v>108</v>
      </c>
      <c r="U33" s="150"/>
      <c r="V33" s="184" t="s">
        <v>583</v>
      </c>
    </row>
    <row r="34" spans="1:73" ht="104">
      <c r="A34" s="337"/>
      <c r="B34" s="338"/>
      <c r="C34" s="339"/>
      <c r="D34" s="339"/>
      <c r="E34" s="339"/>
      <c r="F34" s="333"/>
      <c r="G34" s="331"/>
      <c r="H34" s="332"/>
      <c r="I34" s="332"/>
      <c r="J34" s="330"/>
      <c r="K34" s="163" t="s">
        <v>561</v>
      </c>
      <c r="L34" s="164" t="s">
        <v>553</v>
      </c>
      <c r="M34" s="163">
        <v>3</v>
      </c>
      <c r="N34" s="164">
        <v>4</v>
      </c>
      <c r="O34" s="262">
        <f>J33*M34*N34</f>
        <v>324</v>
      </c>
      <c r="P34" s="160" t="s">
        <v>956</v>
      </c>
      <c r="Q34" s="152" t="s">
        <v>780</v>
      </c>
      <c r="R34" s="156">
        <v>2</v>
      </c>
      <c r="S34" s="157">
        <v>2</v>
      </c>
      <c r="T34" s="260">
        <f>J33*R34*S34</f>
        <v>108</v>
      </c>
      <c r="U34" s="150"/>
      <c r="V34" s="184" t="s">
        <v>583</v>
      </c>
    </row>
    <row r="35" spans="1:73" ht="60" customHeight="1">
      <c r="A35" s="309">
        <v>11</v>
      </c>
      <c r="B35" s="312" t="s">
        <v>306</v>
      </c>
      <c r="C35" s="315" t="s">
        <v>552</v>
      </c>
      <c r="D35" s="315" t="s">
        <v>417</v>
      </c>
      <c r="E35" s="315" t="s">
        <v>417</v>
      </c>
      <c r="F35" s="318" t="s">
        <v>417</v>
      </c>
      <c r="G35" s="321">
        <v>2</v>
      </c>
      <c r="H35" s="324">
        <v>2</v>
      </c>
      <c r="I35" s="324">
        <v>2</v>
      </c>
      <c r="J35" s="330">
        <f>G35*H35*I35</f>
        <v>8</v>
      </c>
      <c r="K35" s="163" t="s">
        <v>559</v>
      </c>
      <c r="L35" s="164" t="s">
        <v>553</v>
      </c>
      <c r="M35" s="163">
        <v>3</v>
      </c>
      <c r="N35" s="164">
        <v>3</v>
      </c>
      <c r="O35" s="264">
        <f>J35*M35*N35</f>
        <v>72</v>
      </c>
      <c r="P35" s="160" t="s">
        <v>560</v>
      </c>
      <c r="Q35" s="152" t="s">
        <v>779</v>
      </c>
      <c r="R35" s="156">
        <v>2</v>
      </c>
      <c r="S35" s="157">
        <v>2</v>
      </c>
      <c r="T35" s="260">
        <f>J35*R35*S35</f>
        <v>32</v>
      </c>
      <c r="U35" s="150"/>
      <c r="V35" s="184"/>
    </row>
    <row r="36" spans="1:73" ht="137.5" customHeight="1">
      <c r="A36" s="310"/>
      <c r="B36" s="313"/>
      <c r="C36" s="316"/>
      <c r="D36" s="316"/>
      <c r="E36" s="316"/>
      <c r="F36" s="319"/>
      <c r="G36" s="322"/>
      <c r="H36" s="325"/>
      <c r="I36" s="325"/>
      <c r="J36" s="330"/>
      <c r="K36" s="163" t="s">
        <v>419</v>
      </c>
      <c r="L36" s="164" t="s">
        <v>784</v>
      </c>
      <c r="M36" s="163">
        <v>3</v>
      </c>
      <c r="N36" s="164">
        <v>3</v>
      </c>
      <c r="O36" s="264">
        <f>J35*M36*N36</f>
        <v>72</v>
      </c>
      <c r="P36" s="160" t="s">
        <v>783</v>
      </c>
      <c r="Q36" s="152" t="s">
        <v>861</v>
      </c>
      <c r="R36" s="156">
        <v>2</v>
      </c>
      <c r="S36" s="157">
        <v>2</v>
      </c>
      <c r="T36" s="260">
        <f>J35*R36*S36</f>
        <v>32</v>
      </c>
      <c r="U36" s="150"/>
      <c r="V36" s="184"/>
    </row>
    <row r="37" spans="1:73" ht="117">
      <c r="A37" s="311"/>
      <c r="B37" s="314"/>
      <c r="C37" s="317"/>
      <c r="D37" s="317"/>
      <c r="E37" s="317"/>
      <c r="F37" s="320"/>
      <c r="G37" s="323"/>
      <c r="H37" s="326"/>
      <c r="I37" s="326"/>
      <c r="J37" s="330"/>
      <c r="K37" s="163" t="s">
        <v>555</v>
      </c>
      <c r="L37" s="164" t="s">
        <v>785</v>
      </c>
      <c r="M37" s="163">
        <v>3</v>
      </c>
      <c r="N37" s="164">
        <v>2</v>
      </c>
      <c r="O37" s="264">
        <f>J35*M37*N37</f>
        <v>48</v>
      </c>
      <c r="P37" s="160" t="s">
        <v>786</v>
      </c>
      <c r="Q37" s="152" t="s">
        <v>787</v>
      </c>
      <c r="R37" s="156">
        <v>2</v>
      </c>
      <c r="S37" s="157">
        <v>2</v>
      </c>
      <c r="T37" s="260">
        <f>J35*R37*S37</f>
        <v>32</v>
      </c>
      <c r="U37" s="150"/>
      <c r="V37" s="184"/>
    </row>
    <row r="38" spans="1:73" ht="80.25" customHeight="1">
      <c r="A38" s="170">
        <v>12</v>
      </c>
      <c r="B38" s="147" t="s">
        <v>554</v>
      </c>
      <c r="C38" s="145" t="s">
        <v>552</v>
      </c>
      <c r="D38" s="145" t="s">
        <v>417</v>
      </c>
      <c r="E38" s="145" t="s">
        <v>417</v>
      </c>
      <c r="F38" s="171" t="s">
        <v>417</v>
      </c>
      <c r="G38" s="167">
        <v>1</v>
      </c>
      <c r="H38" s="146">
        <v>1</v>
      </c>
      <c r="I38" s="146">
        <v>2</v>
      </c>
      <c r="J38" s="168">
        <f>G38*H38*I38</f>
        <v>2</v>
      </c>
      <c r="K38" s="163" t="s">
        <v>557</v>
      </c>
      <c r="L38" s="164" t="s">
        <v>556</v>
      </c>
      <c r="M38" s="163">
        <v>3</v>
      </c>
      <c r="N38" s="164">
        <v>4</v>
      </c>
      <c r="O38" s="262">
        <f>J38*M38*N38</f>
        <v>24</v>
      </c>
      <c r="P38" s="160" t="s">
        <v>777</v>
      </c>
      <c r="Q38" s="152" t="s">
        <v>778</v>
      </c>
      <c r="R38" s="156">
        <v>2</v>
      </c>
      <c r="S38" s="157">
        <v>2</v>
      </c>
      <c r="T38" s="260">
        <f>J38*R38*S38</f>
        <v>8</v>
      </c>
      <c r="U38" s="150"/>
      <c r="V38" s="184" t="s">
        <v>583</v>
      </c>
    </row>
    <row r="39" spans="1:73" s="107" customFormat="1" ht="29">
      <c r="A39" s="337">
        <v>13</v>
      </c>
      <c r="B39" s="338" t="s">
        <v>828</v>
      </c>
      <c r="C39" s="339" t="s">
        <v>552</v>
      </c>
      <c r="D39" s="339" t="s">
        <v>417</v>
      </c>
      <c r="E39" s="339" t="s">
        <v>794</v>
      </c>
      <c r="F39" s="333" t="s">
        <v>423</v>
      </c>
      <c r="G39" s="331">
        <v>2</v>
      </c>
      <c r="H39" s="332">
        <v>2</v>
      </c>
      <c r="I39" s="332">
        <v>2</v>
      </c>
      <c r="J39" s="330">
        <f>G39*H39*I39</f>
        <v>8</v>
      </c>
      <c r="K39" s="163" t="s">
        <v>508</v>
      </c>
      <c r="L39" s="164" t="s">
        <v>503</v>
      </c>
      <c r="M39" s="163">
        <v>3</v>
      </c>
      <c r="N39" s="164">
        <v>3</v>
      </c>
      <c r="O39" s="264">
        <f>J39*M39*N39</f>
        <v>72</v>
      </c>
      <c r="P39" s="160" t="s">
        <v>510</v>
      </c>
      <c r="Q39" s="152" t="s">
        <v>803</v>
      </c>
      <c r="R39" s="156">
        <v>2</v>
      </c>
      <c r="S39" s="157">
        <v>2</v>
      </c>
      <c r="T39" s="260">
        <f>J39*R39*S39</f>
        <v>32</v>
      </c>
      <c r="U39" s="150"/>
      <c r="V39" s="184" t="s">
        <v>583</v>
      </c>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row>
    <row r="40" spans="1:73" s="107" customFormat="1" ht="78">
      <c r="A40" s="337"/>
      <c r="B40" s="338"/>
      <c r="C40" s="339"/>
      <c r="D40" s="339"/>
      <c r="E40" s="339"/>
      <c r="F40" s="333"/>
      <c r="G40" s="331"/>
      <c r="H40" s="332"/>
      <c r="I40" s="332"/>
      <c r="J40" s="330"/>
      <c r="K40" s="163" t="s">
        <v>504</v>
      </c>
      <c r="L40" s="164" t="s">
        <v>511</v>
      </c>
      <c r="M40" s="163">
        <v>3</v>
      </c>
      <c r="N40" s="164">
        <v>2</v>
      </c>
      <c r="O40" s="264">
        <f>J39*M40*N40</f>
        <v>48</v>
      </c>
      <c r="P40" s="160" t="s">
        <v>796</v>
      </c>
      <c r="Q40" s="152" t="s">
        <v>802</v>
      </c>
      <c r="R40" s="156">
        <v>2</v>
      </c>
      <c r="S40" s="157">
        <v>2</v>
      </c>
      <c r="T40" s="260">
        <f>J39*R40*S40</f>
        <v>32</v>
      </c>
      <c r="U40" s="150"/>
      <c r="V40" s="184"/>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row>
    <row r="41" spans="1:73" s="107" customFormat="1" ht="65">
      <c r="A41" s="337"/>
      <c r="B41" s="338"/>
      <c r="C41" s="339"/>
      <c r="D41" s="339"/>
      <c r="E41" s="339"/>
      <c r="F41" s="333"/>
      <c r="G41" s="331"/>
      <c r="H41" s="332"/>
      <c r="I41" s="332"/>
      <c r="J41" s="330"/>
      <c r="K41" s="163" t="s">
        <v>505</v>
      </c>
      <c r="L41" s="164" t="s">
        <v>507</v>
      </c>
      <c r="M41" s="163">
        <v>3</v>
      </c>
      <c r="N41" s="164">
        <v>2</v>
      </c>
      <c r="O41" s="264">
        <f>J39*M41*N41</f>
        <v>48</v>
      </c>
      <c r="P41" s="160" t="s">
        <v>795</v>
      </c>
      <c r="Q41" s="152" t="s">
        <v>802</v>
      </c>
      <c r="R41" s="156">
        <v>2</v>
      </c>
      <c r="S41" s="157">
        <v>1</v>
      </c>
      <c r="T41" s="260">
        <f>J39*R41*S41</f>
        <v>16</v>
      </c>
      <c r="U41" s="150"/>
      <c r="V41" s="184"/>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row>
    <row r="42" spans="1:73" s="107" customFormat="1" ht="78">
      <c r="A42" s="337"/>
      <c r="B42" s="338"/>
      <c r="C42" s="339"/>
      <c r="D42" s="339"/>
      <c r="E42" s="339"/>
      <c r="F42" s="333"/>
      <c r="G42" s="331"/>
      <c r="H42" s="332"/>
      <c r="I42" s="332"/>
      <c r="J42" s="330"/>
      <c r="K42" s="163" t="s">
        <v>506</v>
      </c>
      <c r="L42" s="164" t="s">
        <v>798</v>
      </c>
      <c r="M42" s="163">
        <v>3</v>
      </c>
      <c r="N42" s="164">
        <v>2</v>
      </c>
      <c r="O42" s="264">
        <f>J39*M42*N42</f>
        <v>48</v>
      </c>
      <c r="P42" s="160" t="s">
        <v>797</v>
      </c>
      <c r="Q42" s="152" t="s">
        <v>802</v>
      </c>
      <c r="R42" s="156">
        <v>2</v>
      </c>
      <c r="S42" s="157">
        <v>1</v>
      </c>
      <c r="T42" s="260">
        <f>J39*R42*S42</f>
        <v>16</v>
      </c>
      <c r="U42" s="150"/>
      <c r="V42" s="184"/>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row>
    <row r="43" spans="1:73" s="107" customFormat="1" ht="78">
      <c r="A43" s="337"/>
      <c r="B43" s="338"/>
      <c r="C43" s="339"/>
      <c r="D43" s="339"/>
      <c r="E43" s="339"/>
      <c r="F43" s="333"/>
      <c r="G43" s="331"/>
      <c r="H43" s="332"/>
      <c r="I43" s="332"/>
      <c r="J43" s="330"/>
      <c r="K43" s="163" t="s">
        <v>559</v>
      </c>
      <c r="L43" s="164" t="s">
        <v>799</v>
      </c>
      <c r="M43" s="163">
        <v>3</v>
      </c>
      <c r="N43" s="164">
        <v>3</v>
      </c>
      <c r="O43" s="264">
        <f>J39*M43*N43</f>
        <v>72</v>
      </c>
      <c r="P43" s="160" t="s">
        <v>800</v>
      </c>
      <c r="Q43" s="152" t="s">
        <v>801</v>
      </c>
      <c r="R43" s="156">
        <v>2</v>
      </c>
      <c r="S43" s="157">
        <v>2</v>
      </c>
      <c r="T43" s="260">
        <f>J39*R43*S43</f>
        <v>32</v>
      </c>
      <c r="U43" s="150"/>
      <c r="V43" s="184"/>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row>
    <row r="44" spans="1:73" s="107" customFormat="1" ht="409.5">
      <c r="A44" s="170">
        <v>14</v>
      </c>
      <c r="B44" s="147" t="s">
        <v>808</v>
      </c>
      <c r="C44" s="145" t="s">
        <v>552</v>
      </c>
      <c r="D44" s="145" t="s">
        <v>417</v>
      </c>
      <c r="E44" s="145" t="s">
        <v>417</v>
      </c>
      <c r="F44" s="171" t="s">
        <v>423</v>
      </c>
      <c r="G44" s="167">
        <v>4</v>
      </c>
      <c r="H44" s="146">
        <v>4</v>
      </c>
      <c r="I44" s="146">
        <v>4</v>
      </c>
      <c r="J44" s="168">
        <f>G44*H44*I44</f>
        <v>64</v>
      </c>
      <c r="K44" s="165" t="s">
        <v>725</v>
      </c>
      <c r="L44" s="166" t="s">
        <v>726</v>
      </c>
      <c r="M44" s="163">
        <v>4</v>
      </c>
      <c r="N44" s="164">
        <v>5</v>
      </c>
      <c r="O44" s="262">
        <f>J44*M44*N44</f>
        <v>1280</v>
      </c>
      <c r="P44" s="160" t="s">
        <v>979</v>
      </c>
      <c r="Q44" s="152" t="s">
        <v>907</v>
      </c>
      <c r="R44" s="156">
        <v>2</v>
      </c>
      <c r="S44" s="157">
        <v>3</v>
      </c>
      <c r="T44" s="259">
        <f>J44*R44*S44</f>
        <v>384</v>
      </c>
      <c r="U44" s="150"/>
      <c r="V44" s="184" t="s">
        <v>583</v>
      </c>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row>
    <row r="45" spans="1:73" s="107" customFormat="1" ht="94" customHeight="1">
      <c r="A45" s="337">
        <v>15</v>
      </c>
      <c r="B45" s="338" t="s">
        <v>809</v>
      </c>
      <c r="C45" s="339" t="s">
        <v>552</v>
      </c>
      <c r="D45" s="339" t="s">
        <v>417</v>
      </c>
      <c r="E45" s="339" t="s">
        <v>417</v>
      </c>
      <c r="F45" s="333" t="s">
        <v>744</v>
      </c>
      <c r="G45" s="331">
        <v>2</v>
      </c>
      <c r="H45" s="332">
        <v>2</v>
      </c>
      <c r="I45" s="332">
        <v>2</v>
      </c>
      <c r="J45" s="330">
        <f>G45*H45*I45</f>
        <v>8</v>
      </c>
      <c r="K45" s="165" t="s">
        <v>811</v>
      </c>
      <c r="L45" s="166" t="s">
        <v>813</v>
      </c>
      <c r="M45" s="163">
        <v>3</v>
      </c>
      <c r="N45" s="164">
        <v>3</v>
      </c>
      <c r="O45" s="264">
        <f>J45*M45*N45</f>
        <v>72</v>
      </c>
      <c r="P45" s="160" t="s">
        <v>815</v>
      </c>
      <c r="Q45" s="152" t="s">
        <v>816</v>
      </c>
      <c r="R45" s="156">
        <v>2</v>
      </c>
      <c r="S45" s="157">
        <v>2</v>
      </c>
      <c r="T45" s="260">
        <f>J45*R45*S45</f>
        <v>32</v>
      </c>
      <c r="U45" s="150"/>
      <c r="V45" s="184" t="s">
        <v>583</v>
      </c>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row>
    <row r="46" spans="1:73" s="107" customFormat="1" ht="71.5" customHeight="1">
      <c r="A46" s="337"/>
      <c r="B46" s="338"/>
      <c r="C46" s="339"/>
      <c r="D46" s="339"/>
      <c r="E46" s="339"/>
      <c r="F46" s="333"/>
      <c r="G46" s="331"/>
      <c r="H46" s="332"/>
      <c r="I46" s="332"/>
      <c r="J46" s="330"/>
      <c r="K46" s="165" t="s">
        <v>810</v>
      </c>
      <c r="L46" s="164" t="s">
        <v>812</v>
      </c>
      <c r="M46" s="163">
        <v>3</v>
      </c>
      <c r="N46" s="164">
        <v>4</v>
      </c>
      <c r="O46" s="262">
        <f>J45*M46*N46</f>
        <v>96</v>
      </c>
      <c r="P46" s="160" t="s">
        <v>814</v>
      </c>
      <c r="Q46" s="152" t="s">
        <v>816</v>
      </c>
      <c r="R46" s="156">
        <v>2</v>
      </c>
      <c r="S46" s="157">
        <v>2</v>
      </c>
      <c r="T46" s="260">
        <f>J45*R46*S46</f>
        <v>32</v>
      </c>
      <c r="U46" s="150"/>
      <c r="V46" s="184" t="s">
        <v>583</v>
      </c>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row>
    <row r="47" spans="1:73" ht="161.5" customHeight="1">
      <c r="A47" s="170">
        <v>16</v>
      </c>
      <c r="B47" s="147" t="s">
        <v>817</v>
      </c>
      <c r="C47" s="145" t="s">
        <v>552</v>
      </c>
      <c r="D47" s="145" t="s">
        <v>417</v>
      </c>
      <c r="E47" s="145" t="s">
        <v>818</v>
      </c>
      <c r="F47" s="171" t="s">
        <v>744</v>
      </c>
      <c r="G47" s="167">
        <v>1</v>
      </c>
      <c r="H47" s="146">
        <v>1</v>
      </c>
      <c r="I47" s="146">
        <v>2</v>
      </c>
      <c r="J47" s="168">
        <f>G47*H47*I47</f>
        <v>2</v>
      </c>
      <c r="K47" s="165" t="s">
        <v>517</v>
      </c>
      <c r="L47" s="166" t="s">
        <v>819</v>
      </c>
      <c r="M47" s="163">
        <v>4</v>
      </c>
      <c r="N47" s="164">
        <v>3</v>
      </c>
      <c r="O47" s="262">
        <f>J47*M47*N47</f>
        <v>24</v>
      </c>
      <c r="P47" s="160" t="s">
        <v>988</v>
      </c>
      <c r="Q47" s="152" t="s">
        <v>868</v>
      </c>
      <c r="R47" s="156">
        <v>2</v>
      </c>
      <c r="S47" s="157">
        <v>2</v>
      </c>
      <c r="T47" s="260">
        <f>J47*R47*S47</f>
        <v>8</v>
      </c>
      <c r="U47" s="150"/>
      <c r="V47" s="184" t="s">
        <v>583</v>
      </c>
    </row>
    <row r="48" spans="1:73" ht="164.5" customHeight="1">
      <c r="A48" s="309">
        <v>17</v>
      </c>
      <c r="B48" s="312" t="s">
        <v>682</v>
      </c>
      <c r="C48" s="315" t="s">
        <v>552</v>
      </c>
      <c r="D48" s="315" t="s">
        <v>417</v>
      </c>
      <c r="E48" s="315" t="s">
        <v>418</v>
      </c>
      <c r="F48" s="318" t="s">
        <v>423</v>
      </c>
      <c r="G48" s="321">
        <v>2</v>
      </c>
      <c r="H48" s="324">
        <v>2</v>
      </c>
      <c r="I48" s="324">
        <v>2</v>
      </c>
      <c r="J48" s="327">
        <f>G48*H48*I48</f>
        <v>8</v>
      </c>
      <c r="K48" s="165" t="s">
        <v>657</v>
      </c>
      <c r="L48" s="166" t="s">
        <v>738</v>
      </c>
      <c r="M48" s="163">
        <v>3</v>
      </c>
      <c r="N48" s="164">
        <v>3</v>
      </c>
      <c r="O48" s="264">
        <f>J48*M48*N48</f>
        <v>72</v>
      </c>
      <c r="P48" s="160" t="s">
        <v>984</v>
      </c>
      <c r="Q48" s="152" t="s">
        <v>820</v>
      </c>
      <c r="R48" s="156">
        <v>2</v>
      </c>
      <c r="S48" s="157">
        <v>2</v>
      </c>
      <c r="T48" s="260">
        <f>J48*R48*S48</f>
        <v>32</v>
      </c>
      <c r="U48" s="150"/>
      <c r="V48" s="184"/>
    </row>
    <row r="49" spans="1:22" ht="208">
      <c r="A49" s="310"/>
      <c r="B49" s="313"/>
      <c r="C49" s="316"/>
      <c r="D49" s="316"/>
      <c r="E49" s="316"/>
      <c r="F49" s="319"/>
      <c r="G49" s="322"/>
      <c r="H49" s="325"/>
      <c r="I49" s="325"/>
      <c r="J49" s="328"/>
      <c r="K49" s="165" t="s">
        <v>419</v>
      </c>
      <c r="L49" s="166" t="s">
        <v>736</v>
      </c>
      <c r="M49" s="163">
        <v>3</v>
      </c>
      <c r="N49" s="164">
        <v>3</v>
      </c>
      <c r="O49" s="264">
        <f>J48*M49*N49</f>
        <v>72</v>
      </c>
      <c r="P49" s="160" t="s">
        <v>978</v>
      </c>
      <c r="Q49" s="152" t="s">
        <v>862</v>
      </c>
      <c r="R49" s="156">
        <v>2</v>
      </c>
      <c r="S49" s="157">
        <v>2</v>
      </c>
      <c r="T49" s="260">
        <f>J48*R49*S49</f>
        <v>32</v>
      </c>
      <c r="U49" s="150"/>
      <c r="V49" s="184"/>
    </row>
    <row r="50" spans="1:22" ht="182">
      <c r="A50" s="311"/>
      <c r="B50" s="314"/>
      <c r="C50" s="317"/>
      <c r="D50" s="317"/>
      <c r="E50" s="317"/>
      <c r="F50" s="320"/>
      <c r="G50" s="323"/>
      <c r="H50" s="326"/>
      <c r="I50" s="326"/>
      <c r="J50" s="329"/>
      <c r="K50" s="165" t="s">
        <v>421</v>
      </c>
      <c r="L50" s="166" t="s">
        <v>971</v>
      </c>
      <c r="M50" s="163">
        <v>3</v>
      </c>
      <c r="N50" s="164">
        <v>3</v>
      </c>
      <c r="O50" s="264">
        <f>J48*M50*N50</f>
        <v>72</v>
      </c>
      <c r="P50" s="160" t="s">
        <v>977</v>
      </c>
      <c r="Q50" s="152" t="s">
        <v>821</v>
      </c>
      <c r="R50" s="156">
        <v>2</v>
      </c>
      <c r="S50" s="157">
        <v>2</v>
      </c>
      <c r="T50" s="260">
        <f>J48*R50*S50</f>
        <v>32</v>
      </c>
      <c r="U50" s="150"/>
      <c r="V50" s="184"/>
    </row>
    <row r="51" spans="1:22" ht="78">
      <c r="A51" s="309">
        <v>18</v>
      </c>
      <c r="B51" s="312" t="s">
        <v>558</v>
      </c>
      <c r="C51" s="315" t="s">
        <v>552</v>
      </c>
      <c r="D51" s="315" t="s">
        <v>417</v>
      </c>
      <c r="E51" s="315" t="s">
        <v>417</v>
      </c>
      <c r="F51" s="318" t="s">
        <v>744</v>
      </c>
      <c r="G51" s="321">
        <v>2</v>
      </c>
      <c r="H51" s="324">
        <v>2</v>
      </c>
      <c r="I51" s="324">
        <v>2</v>
      </c>
      <c r="J51" s="327">
        <f>G51*H51*I51</f>
        <v>8</v>
      </c>
      <c r="K51" s="165" t="s">
        <v>574</v>
      </c>
      <c r="L51" s="166" t="s">
        <v>575</v>
      </c>
      <c r="M51" s="163">
        <v>3</v>
      </c>
      <c r="N51" s="164">
        <v>2</v>
      </c>
      <c r="O51" s="264">
        <f>J51*M51*N51</f>
        <v>48</v>
      </c>
      <c r="P51" s="160" t="s">
        <v>698</v>
      </c>
      <c r="Q51" s="152" t="s">
        <v>823</v>
      </c>
      <c r="R51" s="156">
        <v>2</v>
      </c>
      <c r="S51" s="157">
        <v>2</v>
      </c>
      <c r="T51" s="260">
        <f>J51*R51*S51</f>
        <v>32</v>
      </c>
      <c r="U51" s="150"/>
      <c r="V51" s="184"/>
    </row>
    <row r="52" spans="1:22" ht="143">
      <c r="A52" s="310"/>
      <c r="B52" s="313"/>
      <c r="C52" s="316"/>
      <c r="D52" s="316"/>
      <c r="E52" s="316"/>
      <c r="F52" s="319"/>
      <c r="G52" s="322"/>
      <c r="H52" s="325"/>
      <c r="I52" s="325"/>
      <c r="J52" s="328"/>
      <c r="K52" s="165" t="s">
        <v>701</v>
      </c>
      <c r="L52" s="166" t="s">
        <v>696</v>
      </c>
      <c r="M52" s="163">
        <v>3</v>
      </c>
      <c r="N52" s="164">
        <v>4</v>
      </c>
      <c r="O52" s="262">
        <f>J51*M52*N52</f>
        <v>96</v>
      </c>
      <c r="P52" s="160" t="s">
        <v>697</v>
      </c>
      <c r="Q52" s="152" t="s">
        <v>824</v>
      </c>
      <c r="R52" s="156">
        <v>2</v>
      </c>
      <c r="S52" s="157">
        <v>2</v>
      </c>
      <c r="T52" s="260">
        <f>J51*R52*S52</f>
        <v>32</v>
      </c>
      <c r="U52" s="150"/>
      <c r="V52" s="184"/>
    </row>
    <row r="53" spans="1:22" ht="52">
      <c r="A53" s="310"/>
      <c r="B53" s="313"/>
      <c r="C53" s="316"/>
      <c r="D53" s="316"/>
      <c r="E53" s="316"/>
      <c r="F53" s="319"/>
      <c r="G53" s="322"/>
      <c r="H53" s="325"/>
      <c r="I53" s="325"/>
      <c r="J53" s="328"/>
      <c r="K53" s="165" t="s">
        <v>699</v>
      </c>
      <c r="L53" s="166" t="s">
        <v>700</v>
      </c>
      <c r="M53" s="163">
        <v>3</v>
      </c>
      <c r="N53" s="164">
        <v>3</v>
      </c>
      <c r="O53" s="264">
        <f>J51*M53*N53</f>
        <v>72</v>
      </c>
      <c r="P53" s="160" t="s">
        <v>703</v>
      </c>
      <c r="Q53" s="152" t="s">
        <v>822</v>
      </c>
      <c r="R53" s="156">
        <v>2</v>
      </c>
      <c r="S53" s="157">
        <v>2</v>
      </c>
      <c r="T53" s="260">
        <f>J51*R52*S52</f>
        <v>32</v>
      </c>
      <c r="U53" s="150"/>
      <c r="V53" s="184"/>
    </row>
    <row r="54" spans="1:22" ht="117">
      <c r="A54" s="311"/>
      <c r="B54" s="314"/>
      <c r="C54" s="317"/>
      <c r="D54" s="317"/>
      <c r="E54" s="317"/>
      <c r="F54" s="320"/>
      <c r="G54" s="323"/>
      <c r="H54" s="326"/>
      <c r="I54" s="326"/>
      <c r="J54" s="329"/>
      <c r="K54" s="165" t="s">
        <v>702</v>
      </c>
      <c r="L54" s="166" t="s">
        <v>704</v>
      </c>
      <c r="M54" s="163">
        <v>3</v>
      </c>
      <c r="N54" s="164">
        <v>3</v>
      </c>
      <c r="O54" s="264">
        <f>J51*M54*N54</f>
        <v>72</v>
      </c>
      <c r="P54" s="160" t="s">
        <v>711</v>
      </c>
      <c r="Q54" s="152" t="s">
        <v>825</v>
      </c>
      <c r="R54" s="156">
        <v>2</v>
      </c>
      <c r="S54" s="157">
        <v>2</v>
      </c>
      <c r="T54" s="260">
        <f>J51*R54*S54</f>
        <v>32</v>
      </c>
      <c r="U54" s="150"/>
      <c r="V54" s="184"/>
    </row>
    <row r="55" spans="1:22" ht="104">
      <c r="A55" s="309">
        <v>19</v>
      </c>
      <c r="B55" s="312" t="s">
        <v>251</v>
      </c>
      <c r="C55" s="315" t="s">
        <v>552</v>
      </c>
      <c r="D55" s="315" t="s">
        <v>417</v>
      </c>
      <c r="E55" s="315" t="s">
        <v>417</v>
      </c>
      <c r="F55" s="318" t="s">
        <v>423</v>
      </c>
      <c r="G55" s="321">
        <v>4</v>
      </c>
      <c r="H55" s="324">
        <v>4</v>
      </c>
      <c r="I55" s="324">
        <v>3</v>
      </c>
      <c r="J55" s="327">
        <f>G55*H55*I55</f>
        <v>48</v>
      </c>
      <c r="K55" s="165" t="s">
        <v>580</v>
      </c>
      <c r="L55" s="166" t="s">
        <v>829</v>
      </c>
      <c r="M55" s="163">
        <v>3</v>
      </c>
      <c r="N55" s="164">
        <v>4</v>
      </c>
      <c r="O55" s="262">
        <f>J55*M55*N55</f>
        <v>576</v>
      </c>
      <c r="P55" s="160" t="s">
        <v>833</v>
      </c>
      <c r="Q55" s="152" t="s">
        <v>834</v>
      </c>
      <c r="R55" s="156">
        <v>2</v>
      </c>
      <c r="S55" s="157">
        <v>2</v>
      </c>
      <c r="T55" s="260">
        <f>J55*R55*S55</f>
        <v>192</v>
      </c>
      <c r="U55" s="150"/>
      <c r="V55" s="184"/>
    </row>
    <row r="56" spans="1:22" ht="39">
      <c r="A56" s="310"/>
      <c r="B56" s="313"/>
      <c r="C56" s="316"/>
      <c r="D56" s="316"/>
      <c r="E56" s="316"/>
      <c r="F56" s="319"/>
      <c r="G56" s="322"/>
      <c r="H56" s="325"/>
      <c r="I56" s="325"/>
      <c r="J56" s="328"/>
      <c r="K56" s="165" t="s">
        <v>420</v>
      </c>
      <c r="L56" s="166" t="s">
        <v>436</v>
      </c>
      <c r="M56" s="163">
        <v>3</v>
      </c>
      <c r="N56" s="164">
        <v>3</v>
      </c>
      <c r="O56" s="264">
        <f>J55*M56*N56</f>
        <v>432</v>
      </c>
      <c r="P56" s="160" t="s">
        <v>835</v>
      </c>
      <c r="Q56" s="152" t="s">
        <v>836</v>
      </c>
      <c r="R56" s="156">
        <v>2</v>
      </c>
      <c r="S56" s="157">
        <v>2</v>
      </c>
      <c r="T56" s="260">
        <f>J55*R56*S56</f>
        <v>192</v>
      </c>
      <c r="U56" s="150"/>
      <c r="V56" s="184"/>
    </row>
    <row r="57" spans="1:22" ht="234">
      <c r="A57" s="310"/>
      <c r="B57" s="313"/>
      <c r="C57" s="316"/>
      <c r="D57" s="316"/>
      <c r="E57" s="316"/>
      <c r="F57" s="319"/>
      <c r="G57" s="322"/>
      <c r="H57" s="325"/>
      <c r="I57" s="325"/>
      <c r="J57" s="328"/>
      <c r="K57" s="165" t="s">
        <v>419</v>
      </c>
      <c r="L57" s="166" t="s">
        <v>830</v>
      </c>
      <c r="M57" s="163">
        <v>3</v>
      </c>
      <c r="N57" s="164">
        <v>4</v>
      </c>
      <c r="O57" s="262">
        <f>J55*M57*N57</f>
        <v>576</v>
      </c>
      <c r="P57" s="160" t="s">
        <v>976</v>
      </c>
      <c r="Q57" s="152" t="s">
        <v>837</v>
      </c>
      <c r="R57" s="156">
        <v>2</v>
      </c>
      <c r="S57" s="157">
        <v>2</v>
      </c>
      <c r="T57" s="260">
        <f>J55*R56*S56</f>
        <v>192</v>
      </c>
      <c r="U57" s="150"/>
      <c r="V57" s="184"/>
    </row>
    <row r="58" spans="1:22" ht="181" customHeight="1">
      <c r="A58" s="310"/>
      <c r="B58" s="313"/>
      <c r="C58" s="316"/>
      <c r="D58" s="316"/>
      <c r="E58" s="316"/>
      <c r="F58" s="319"/>
      <c r="G58" s="322"/>
      <c r="H58" s="325"/>
      <c r="I58" s="325"/>
      <c r="J58" s="328"/>
      <c r="K58" s="165" t="s">
        <v>555</v>
      </c>
      <c r="L58" s="166" t="s">
        <v>831</v>
      </c>
      <c r="M58" s="163">
        <v>3</v>
      </c>
      <c r="N58" s="164">
        <v>4</v>
      </c>
      <c r="O58" s="262">
        <f>J55*M58*N58</f>
        <v>576</v>
      </c>
      <c r="P58" s="160" t="s">
        <v>838</v>
      </c>
      <c r="Q58" s="152" t="s">
        <v>839</v>
      </c>
      <c r="R58" s="156">
        <v>2</v>
      </c>
      <c r="S58" s="157">
        <v>2</v>
      </c>
      <c r="T58" s="260">
        <f>J55*R58*S58</f>
        <v>192</v>
      </c>
      <c r="U58" s="150"/>
      <c r="V58" s="184"/>
    </row>
    <row r="59" spans="1:22" ht="91">
      <c r="A59" s="311"/>
      <c r="B59" s="314"/>
      <c r="C59" s="317"/>
      <c r="D59" s="317"/>
      <c r="E59" s="317"/>
      <c r="F59" s="320"/>
      <c r="G59" s="323"/>
      <c r="H59" s="326"/>
      <c r="I59" s="326"/>
      <c r="J59" s="329"/>
      <c r="K59" s="165" t="s">
        <v>513</v>
      </c>
      <c r="L59" s="166" t="s">
        <v>832</v>
      </c>
      <c r="M59" s="163">
        <v>3</v>
      </c>
      <c r="N59" s="164">
        <v>4</v>
      </c>
      <c r="O59" s="262">
        <f>J55*M59*N59</f>
        <v>576</v>
      </c>
      <c r="P59" s="160" t="s">
        <v>840</v>
      </c>
      <c r="Q59" s="152" t="s">
        <v>841</v>
      </c>
      <c r="R59" s="156">
        <v>2</v>
      </c>
      <c r="S59" s="157">
        <v>2</v>
      </c>
      <c r="T59" s="260">
        <f>J55*R59*S59</f>
        <v>192</v>
      </c>
      <c r="U59" s="150"/>
      <c r="V59" s="184"/>
    </row>
    <row r="60" spans="1:22" ht="208">
      <c r="A60" s="309">
        <v>20</v>
      </c>
      <c r="B60" s="312" t="s">
        <v>843</v>
      </c>
      <c r="C60" s="315" t="s">
        <v>552</v>
      </c>
      <c r="D60" s="315" t="s">
        <v>853</v>
      </c>
      <c r="E60" s="315" t="s">
        <v>853</v>
      </c>
      <c r="F60" s="318" t="s">
        <v>744</v>
      </c>
      <c r="G60" s="321">
        <v>2</v>
      </c>
      <c r="H60" s="324">
        <v>2</v>
      </c>
      <c r="I60" s="324">
        <v>3</v>
      </c>
      <c r="J60" s="327">
        <f>G60*H60*I60</f>
        <v>12</v>
      </c>
      <c r="K60" s="165" t="s">
        <v>501</v>
      </c>
      <c r="L60" s="166" t="s">
        <v>850</v>
      </c>
      <c r="M60" s="163">
        <v>2</v>
      </c>
      <c r="N60" s="164">
        <v>3</v>
      </c>
      <c r="O60" s="264">
        <f>J60*M60*N60</f>
        <v>72</v>
      </c>
      <c r="P60" s="160" t="s">
        <v>852</v>
      </c>
      <c r="Q60" s="152" t="s">
        <v>854</v>
      </c>
      <c r="R60" s="156">
        <v>2</v>
      </c>
      <c r="S60" s="157">
        <v>1</v>
      </c>
      <c r="T60" s="260">
        <f>J60*R60*S60</f>
        <v>24</v>
      </c>
      <c r="U60" s="150"/>
      <c r="V60" s="184"/>
    </row>
    <row r="61" spans="1:22" ht="221">
      <c r="A61" s="310"/>
      <c r="B61" s="313"/>
      <c r="C61" s="316"/>
      <c r="D61" s="316"/>
      <c r="E61" s="316"/>
      <c r="F61" s="319"/>
      <c r="G61" s="322"/>
      <c r="H61" s="325"/>
      <c r="I61" s="325"/>
      <c r="J61" s="328"/>
      <c r="K61" s="165" t="s">
        <v>499</v>
      </c>
      <c r="L61" s="166" t="s">
        <v>846</v>
      </c>
      <c r="M61" s="163">
        <v>3</v>
      </c>
      <c r="N61" s="164">
        <v>4</v>
      </c>
      <c r="O61" s="262">
        <f>J60*M61*N61</f>
        <v>144</v>
      </c>
      <c r="P61" s="160" t="s">
        <v>849</v>
      </c>
      <c r="Q61" s="152" t="s">
        <v>856</v>
      </c>
      <c r="R61" s="156">
        <v>2</v>
      </c>
      <c r="S61" s="157">
        <v>2</v>
      </c>
      <c r="T61" s="260">
        <f>J60*R61*S61</f>
        <v>48</v>
      </c>
      <c r="U61" s="150"/>
      <c r="V61" s="184"/>
    </row>
    <row r="62" spans="1:22" ht="91">
      <c r="A62" s="310"/>
      <c r="B62" s="313"/>
      <c r="C62" s="316"/>
      <c r="D62" s="316"/>
      <c r="E62" s="316"/>
      <c r="F62" s="319"/>
      <c r="G62" s="322"/>
      <c r="H62" s="325"/>
      <c r="I62" s="325"/>
      <c r="J62" s="328"/>
      <c r="K62" s="165" t="s">
        <v>419</v>
      </c>
      <c r="L62" s="166" t="s">
        <v>426</v>
      </c>
      <c r="M62" s="163">
        <v>3</v>
      </c>
      <c r="N62" s="164">
        <v>3</v>
      </c>
      <c r="O62" s="264">
        <f>J60*M62*N62</f>
        <v>108</v>
      </c>
      <c r="P62" s="160" t="s">
        <v>848</v>
      </c>
      <c r="Q62" s="152" t="s">
        <v>857</v>
      </c>
      <c r="R62" s="156">
        <v>2</v>
      </c>
      <c r="S62" s="157">
        <v>2</v>
      </c>
      <c r="T62" s="260">
        <f>J60*R62*S62</f>
        <v>48</v>
      </c>
      <c r="U62" s="150"/>
      <c r="V62" s="184"/>
    </row>
    <row r="63" spans="1:22" ht="208">
      <c r="A63" s="310"/>
      <c r="B63" s="313"/>
      <c r="C63" s="316"/>
      <c r="D63" s="316"/>
      <c r="E63" s="316"/>
      <c r="F63" s="319"/>
      <c r="G63" s="322"/>
      <c r="H63" s="325"/>
      <c r="I63" s="325"/>
      <c r="J63" s="328"/>
      <c r="K63" s="165" t="s">
        <v>509</v>
      </c>
      <c r="L63" s="166" t="s">
        <v>850</v>
      </c>
      <c r="M63" s="163">
        <v>2</v>
      </c>
      <c r="N63" s="164">
        <v>2</v>
      </c>
      <c r="O63" s="265">
        <f>J60*M63*N63</f>
        <v>48</v>
      </c>
      <c r="P63" s="160" t="s">
        <v>852</v>
      </c>
      <c r="Q63" s="152" t="s">
        <v>854</v>
      </c>
      <c r="R63" s="156">
        <v>2</v>
      </c>
      <c r="S63" s="157">
        <v>1</v>
      </c>
      <c r="T63" s="260">
        <f>J60*R63*S63</f>
        <v>24</v>
      </c>
      <c r="U63" s="150"/>
      <c r="V63" s="184"/>
    </row>
    <row r="64" spans="1:22" ht="91">
      <c r="A64" s="310"/>
      <c r="B64" s="313"/>
      <c r="C64" s="316"/>
      <c r="D64" s="316"/>
      <c r="E64" s="316"/>
      <c r="F64" s="319"/>
      <c r="G64" s="322"/>
      <c r="H64" s="325"/>
      <c r="I64" s="325"/>
      <c r="J64" s="328"/>
      <c r="K64" s="165" t="s">
        <v>845</v>
      </c>
      <c r="L64" s="166" t="s">
        <v>847</v>
      </c>
      <c r="M64" s="163">
        <v>3</v>
      </c>
      <c r="N64" s="164">
        <v>3</v>
      </c>
      <c r="O64" s="264">
        <f>J60*M64*N64</f>
        <v>108</v>
      </c>
      <c r="P64" s="160" t="s">
        <v>851</v>
      </c>
      <c r="Q64" s="152" t="s">
        <v>863</v>
      </c>
      <c r="R64" s="156">
        <v>2</v>
      </c>
      <c r="S64" s="157">
        <v>2</v>
      </c>
      <c r="T64" s="260">
        <f>J60*R64*S64</f>
        <v>48</v>
      </c>
      <c r="U64" s="150"/>
      <c r="V64" s="184"/>
    </row>
    <row r="65" spans="1:22" ht="130">
      <c r="A65" s="311"/>
      <c r="B65" s="314"/>
      <c r="C65" s="317"/>
      <c r="D65" s="317"/>
      <c r="E65" s="317"/>
      <c r="F65" s="320"/>
      <c r="G65" s="323"/>
      <c r="H65" s="326"/>
      <c r="I65" s="326"/>
      <c r="J65" s="329"/>
      <c r="K65" s="165" t="s">
        <v>500</v>
      </c>
      <c r="L65" s="166" t="s">
        <v>844</v>
      </c>
      <c r="M65" s="163">
        <v>2</v>
      </c>
      <c r="N65" s="164">
        <v>3</v>
      </c>
      <c r="O65" s="264">
        <f>J60*M65*N65</f>
        <v>72</v>
      </c>
      <c r="P65" s="160" t="s">
        <v>855</v>
      </c>
      <c r="Q65" s="152" t="s">
        <v>864</v>
      </c>
      <c r="R65" s="156">
        <v>1</v>
      </c>
      <c r="S65" s="157">
        <v>2</v>
      </c>
      <c r="T65" s="260">
        <f>J60*R65*S65</f>
        <v>24</v>
      </c>
      <c r="U65" s="150"/>
      <c r="V65" s="184"/>
    </row>
    <row r="66" spans="1:22" ht="390">
      <c r="A66" s="217">
        <v>21</v>
      </c>
      <c r="B66" s="214" t="s">
        <v>865</v>
      </c>
      <c r="C66" s="211" t="s">
        <v>552</v>
      </c>
      <c r="D66" s="211" t="s">
        <v>417</v>
      </c>
      <c r="E66" s="211" t="s">
        <v>417</v>
      </c>
      <c r="F66" s="215" t="s">
        <v>423</v>
      </c>
      <c r="G66" s="216">
        <v>2</v>
      </c>
      <c r="H66" s="212">
        <v>2</v>
      </c>
      <c r="I66" s="212">
        <v>4</v>
      </c>
      <c r="J66" s="213">
        <f>G66*H66*I66</f>
        <v>16</v>
      </c>
      <c r="K66" s="165" t="s">
        <v>503</v>
      </c>
      <c r="L66" s="166" t="s">
        <v>899</v>
      </c>
      <c r="M66" s="163">
        <v>3</v>
      </c>
      <c r="N66" s="164">
        <v>4</v>
      </c>
      <c r="O66" s="262">
        <f>J66*M66*N66</f>
        <v>192</v>
      </c>
      <c r="P66" s="160" t="s">
        <v>866</v>
      </c>
      <c r="Q66" s="152" t="s">
        <v>867</v>
      </c>
      <c r="R66" s="156">
        <v>2</v>
      </c>
      <c r="S66" s="157">
        <v>2</v>
      </c>
      <c r="T66" s="260">
        <f>J66*R66*S66</f>
        <v>64</v>
      </c>
      <c r="U66" s="150"/>
      <c r="V66" s="184"/>
    </row>
    <row r="67" spans="1:22" ht="351">
      <c r="A67" s="217">
        <v>22</v>
      </c>
      <c r="B67" s="214" t="s">
        <v>957</v>
      </c>
      <c r="C67" s="211" t="s">
        <v>552</v>
      </c>
      <c r="D67" s="211" t="s">
        <v>417</v>
      </c>
      <c r="E67" s="211" t="s">
        <v>418</v>
      </c>
      <c r="F67" s="215" t="s">
        <v>423</v>
      </c>
      <c r="G67" s="216">
        <v>4</v>
      </c>
      <c r="H67" s="212">
        <v>4</v>
      </c>
      <c r="I67" s="212">
        <v>3</v>
      </c>
      <c r="J67" s="213">
        <f>G67*H67*I67</f>
        <v>48</v>
      </c>
      <c r="K67" s="165" t="s">
        <v>869</v>
      </c>
      <c r="L67" s="166" t="s">
        <v>871</v>
      </c>
      <c r="M67" s="163">
        <v>4</v>
      </c>
      <c r="N67" s="164">
        <v>4</v>
      </c>
      <c r="O67" s="262">
        <f>J67*M67*N67</f>
        <v>768</v>
      </c>
      <c r="P67" s="160" t="s">
        <v>985</v>
      </c>
      <c r="Q67" s="152" t="s">
        <v>870</v>
      </c>
      <c r="R67" s="156">
        <v>2</v>
      </c>
      <c r="S67" s="157">
        <v>3</v>
      </c>
      <c r="T67" s="259">
        <f>J67*R67*S67</f>
        <v>288</v>
      </c>
      <c r="U67" s="150"/>
      <c r="V67" s="184"/>
    </row>
    <row r="68" spans="1:22" ht="247">
      <c r="A68" s="341">
        <v>23</v>
      </c>
      <c r="B68" s="312" t="s">
        <v>887</v>
      </c>
      <c r="C68" s="315" t="s">
        <v>552</v>
      </c>
      <c r="D68" s="315" t="s">
        <v>417</v>
      </c>
      <c r="E68" s="315" t="s">
        <v>417</v>
      </c>
      <c r="F68" s="318" t="s">
        <v>502</v>
      </c>
      <c r="G68" s="321">
        <v>4</v>
      </c>
      <c r="H68" s="324">
        <v>4</v>
      </c>
      <c r="I68" s="324">
        <v>4</v>
      </c>
      <c r="J68" s="327">
        <f>G68*H68*I68</f>
        <v>64</v>
      </c>
      <c r="K68" s="165" t="s">
        <v>419</v>
      </c>
      <c r="L68" s="166" t="s">
        <v>874</v>
      </c>
      <c r="M68" s="163">
        <v>3</v>
      </c>
      <c r="N68" s="164">
        <v>4</v>
      </c>
      <c r="O68" s="262">
        <f>J68*M68*N68</f>
        <v>768</v>
      </c>
      <c r="P68" s="160" t="s">
        <v>888</v>
      </c>
      <c r="Q68" s="152" t="s">
        <v>883</v>
      </c>
      <c r="R68" s="156">
        <v>2</v>
      </c>
      <c r="S68" s="157">
        <v>3</v>
      </c>
      <c r="T68" s="259">
        <f>J68*R68*S68</f>
        <v>384</v>
      </c>
      <c r="U68" s="150"/>
      <c r="V68" s="184"/>
    </row>
    <row r="69" spans="1:22" ht="78">
      <c r="A69" s="342"/>
      <c r="B69" s="313"/>
      <c r="C69" s="316"/>
      <c r="D69" s="316"/>
      <c r="E69" s="316"/>
      <c r="F69" s="319"/>
      <c r="G69" s="322"/>
      <c r="H69" s="325"/>
      <c r="I69" s="325"/>
      <c r="J69" s="328"/>
      <c r="K69" s="165" t="s">
        <v>657</v>
      </c>
      <c r="L69" s="166" t="s">
        <v>881</v>
      </c>
      <c r="M69" s="163">
        <v>3</v>
      </c>
      <c r="N69" s="164">
        <v>4</v>
      </c>
      <c r="O69" s="262">
        <f>J68*M68*N68</f>
        <v>768</v>
      </c>
      <c r="P69" s="160" t="s">
        <v>882</v>
      </c>
      <c r="Q69" s="152" t="s">
        <v>880</v>
      </c>
      <c r="R69" s="156">
        <v>2</v>
      </c>
      <c r="S69" s="157">
        <v>3</v>
      </c>
      <c r="T69" s="259">
        <f>J68*R68*S68</f>
        <v>384</v>
      </c>
      <c r="U69" s="150"/>
      <c r="V69" s="184"/>
    </row>
    <row r="70" spans="1:22" ht="143">
      <c r="A70" s="342"/>
      <c r="B70" s="313"/>
      <c r="C70" s="316"/>
      <c r="D70" s="316"/>
      <c r="E70" s="316"/>
      <c r="F70" s="319"/>
      <c r="G70" s="322"/>
      <c r="H70" s="325"/>
      <c r="I70" s="325"/>
      <c r="J70" s="328"/>
      <c r="K70" s="165" t="s">
        <v>555</v>
      </c>
      <c r="L70" s="166" t="s">
        <v>878</v>
      </c>
      <c r="M70" s="163">
        <v>3</v>
      </c>
      <c r="N70" s="164">
        <v>4</v>
      </c>
      <c r="O70" s="262">
        <f>J68*M70*N70</f>
        <v>768</v>
      </c>
      <c r="P70" s="160" t="s">
        <v>879</v>
      </c>
      <c r="Q70" s="152" t="s">
        <v>898</v>
      </c>
      <c r="R70" s="156">
        <v>2</v>
      </c>
      <c r="S70" s="157">
        <v>3</v>
      </c>
      <c r="T70" s="259">
        <f>J68*R70*S70</f>
        <v>384</v>
      </c>
      <c r="U70" s="150"/>
      <c r="V70" s="184"/>
    </row>
    <row r="71" spans="1:22" ht="91">
      <c r="A71" s="342"/>
      <c r="B71" s="313"/>
      <c r="C71" s="316"/>
      <c r="D71" s="316"/>
      <c r="E71" s="316"/>
      <c r="F71" s="319"/>
      <c r="G71" s="322"/>
      <c r="H71" s="325"/>
      <c r="I71" s="325"/>
      <c r="J71" s="328"/>
      <c r="K71" s="165" t="s">
        <v>681</v>
      </c>
      <c r="L71" s="166" t="s">
        <v>514</v>
      </c>
      <c r="M71" s="163">
        <v>3</v>
      </c>
      <c r="N71" s="164">
        <v>4</v>
      </c>
      <c r="O71" s="262">
        <f>J68*M71*N71</f>
        <v>768</v>
      </c>
      <c r="P71" s="160" t="s">
        <v>876</v>
      </c>
      <c r="Q71" s="152" t="s">
        <v>885</v>
      </c>
      <c r="R71" s="156">
        <v>2</v>
      </c>
      <c r="S71" s="157">
        <v>3</v>
      </c>
      <c r="T71" s="259">
        <f>J68*R71*S71</f>
        <v>384</v>
      </c>
      <c r="U71" s="150"/>
      <c r="V71" s="184"/>
    </row>
    <row r="72" spans="1:22" ht="78">
      <c r="A72" s="343"/>
      <c r="B72" s="314"/>
      <c r="C72" s="317"/>
      <c r="D72" s="317"/>
      <c r="E72" s="317"/>
      <c r="F72" s="320"/>
      <c r="G72" s="323"/>
      <c r="H72" s="326"/>
      <c r="I72" s="326"/>
      <c r="J72" s="329"/>
      <c r="K72" s="165" t="s">
        <v>503</v>
      </c>
      <c r="L72" s="166" t="s">
        <v>875</v>
      </c>
      <c r="M72" s="163">
        <v>3</v>
      </c>
      <c r="N72" s="164">
        <v>4</v>
      </c>
      <c r="O72" s="262">
        <f>J68*M72*N72</f>
        <v>768</v>
      </c>
      <c r="P72" s="160" t="s">
        <v>877</v>
      </c>
      <c r="Q72" s="152" t="s">
        <v>884</v>
      </c>
      <c r="R72" s="156">
        <v>2</v>
      </c>
      <c r="S72" s="157">
        <v>3</v>
      </c>
      <c r="T72" s="259">
        <f>J68*R72*S72</f>
        <v>384</v>
      </c>
      <c r="U72" s="150"/>
      <c r="V72" s="184"/>
    </row>
    <row r="73" spans="1:22" ht="208">
      <c r="A73" s="309">
        <v>24</v>
      </c>
      <c r="B73" s="312" t="s">
        <v>889</v>
      </c>
      <c r="C73" s="315" t="s">
        <v>552</v>
      </c>
      <c r="D73" s="315" t="s">
        <v>417</v>
      </c>
      <c r="E73" s="315"/>
      <c r="F73" s="318" t="s">
        <v>502</v>
      </c>
      <c r="G73" s="321">
        <v>4</v>
      </c>
      <c r="H73" s="324">
        <v>4</v>
      </c>
      <c r="I73" s="324">
        <v>4</v>
      </c>
      <c r="J73" s="327">
        <f>G73*H73*I73</f>
        <v>64</v>
      </c>
      <c r="K73" s="165" t="s">
        <v>419</v>
      </c>
      <c r="L73" s="166" t="s">
        <v>874</v>
      </c>
      <c r="M73" s="163">
        <v>3</v>
      </c>
      <c r="N73" s="164">
        <v>4</v>
      </c>
      <c r="O73" s="262">
        <f>J73*M73*N73</f>
        <v>768</v>
      </c>
      <c r="P73" s="160" t="s">
        <v>986</v>
      </c>
      <c r="Q73" s="152" t="s">
        <v>883</v>
      </c>
      <c r="R73" s="156">
        <v>2</v>
      </c>
      <c r="S73" s="157">
        <v>3</v>
      </c>
      <c r="T73" s="259">
        <f>J73*R73*S73</f>
        <v>384</v>
      </c>
      <c r="U73" s="150"/>
      <c r="V73" s="184"/>
    </row>
    <row r="74" spans="1:22" ht="221">
      <c r="A74" s="310"/>
      <c r="B74" s="313"/>
      <c r="C74" s="316"/>
      <c r="D74" s="316"/>
      <c r="E74" s="316"/>
      <c r="F74" s="319"/>
      <c r="G74" s="322"/>
      <c r="H74" s="325"/>
      <c r="I74" s="325"/>
      <c r="J74" s="328"/>
      <c r="K74" s="165" t="s">
        <v>890</v>
      </c>
      <c r="L74" s="166" t="s">
        <v>892</v>
      </c>
      <c r="M74" s="163">
        <v>4</v>
      </c>
      <c r="N74" s="164">
        <v>4</v>
      </c>
      <c r="O74" s="262">
        <f>J73*M74*N74</f>
        <v>1024</v>
      </c>
      <c r="P74" s="160" t="s">
        <v>891</v>
      </c>
      <c r="Q74" s="152" t="s">
        <v>880</v>
      </c>
      <c r="R74" s="156">
        <v>3</v>
      </c>
      <c r="S74" s="157">
        <v>3</v>
      </c>
      <c r="T74" s="259">
        <f>J73*R74*S74</f>
        <v>576</v>
      </c>
      <c r="U74" s="150"/>
      <c r="V74" s="184"/>
    </row>
    <row r="75" spans="1:22" ht="156">
      <c r="A75" s="310"/>
      <c r="B75" s="313"/>
      <c r="C75" s="316"/>
      <c r="D75" s="316"/>
      <c r="E75" s="316"/>
      <c r="F75" s="319"/>
      <c r="G75" s="322"/>
      <c r="H75" s="325"/>
      <c r="I75" s="325"/>
      <c r="J75" s="328"/>
      <c r="K75" s="165" t="s">
        <v>555</v>
      </c>
      <c r="L75" s="166" t="s">
        <v>878</v>
      </c>
      <c r="M75" s="163">
        <v>3</v>
      </c>
      <c r="N75" s="164">
        <v>4</v>
      </c>
      <c r="O75" s="262">
        <f>J73*M75*N75</f>
        <v>768</v>
      </c>
      <c r="P75" s="160" t="s">
        <v>987</v>
      </c>
      <c r="Q75" s="152" t="s">
        <v>898</v>
      </c>
      <c r="R75" s="156">
        <v>2</v>
      </c>
      <c r="S75" s="157">
        <v>3</v>
      </c>
      <c r="T75" s="259">
        <f>J73*R75*S75</f>
        <v>384</v>
      </c>
      <c r="U75" s="150"/>
      <c r="V75" s="184"/>
    </row>
    <row r="76" spans="1:22" ht="91">
      <c r="A76" s="310"/>
      <c r="B76" s="313"/>
      <c r="C76" s="316"/>
      <c r="D76" s="316"/>
      <c r="E76" s="316"/>
      <c r="F76" s="319"/>
      <c r="G76" s="322"/>
      <c r="H76" s="325"/>
      <c r="I76" s="325"/>
      <c r="J76" s="328"/>
      <c r="K76" s="165" t="s">
        <v>681</v>
      </c>
      <c r="L76" s="166" t="s">
        <v>514</v>
      </c>
      <c r="M76" s="163">
        <v>4</v>
      </c>
      <c r="N76" s="164">
        <v>4</v>
      </c>
      <c r="O76" s="262">
        <f>J73*M76*N76</f>
        <v>1024</v>
      </c>
      <c r="P76" s="160" t="s">
        <v>958</v>
      </c>
      <c r="Q76" s="152" t="s">
        <v>885</v>
      </c>
      <c r="R76" s="156">
        <v>2</v>
      </c>
      <c r="S76" s="157">
        <v>3</v>
      </c>
      <c r="T76" s="259">
        <f>J73*R76*S76</f>
        <v>384</v>
      </c>
      <c r="U76" s="150"/>
      <c r="V76" s="184"/>
    </row>
    <row r="77" spans="1:22" ht="78">
      <c r="A77" s="311"/>
      <c r="B77" s="314"/>
      <c r="C77" s="317"/>
      <c r="D77" s="317"/>
      <c r="E77" s="317"/>
      <c r="F77" s="320"/>
      <c r="G77" s="323"/>
      <c r="H77" s="326"/>
      <c r="I77" s="326"/>
      <c r="J77" s="329"/>
      <c r="K77" s="165" t="s">
        <v>503</v>
      </c>
      <c r="L77" s="166" t="s">
        <v>875</v>
      </c>
      <c r="M77" s="163">
        <v>3</v>
      </c>
      <c r="N77" s="164">
        <v>4</v>
      </c>
      <c r="O77" s="262">
        <f>J73*M77*N77</f>
        <v>768</v>
      </c>
      <c r="P77" s="160" t="s">
        <v>877</v>
      </c>
      <c r="Q77" s="152" t="s">
        <v>884</v>
      </c>
      <c r="R77" s="156">
        <v>2</v>
      </c>
      <c r="S77" s="157">
        <v>3</v>
      </c>
      <c r="T77" s="259">
        <f>J73*R77*S77</f>
        <v>384</v>
      </c>
      <c r="U77" s="150"/>
      <c r="V77" s="184"/>
    </row>
    <row r="78" spans="1:22" ht="65">
      <c r="A78" s="310">
        <v>25</v>
      </c>
      <c r="B78" s="313" t="s">
        <v>893</v>
      </c>
      <c r="C78" s="316" t="s">
        <v>552</v>
      </c>
      <c r="D78" s="316" t="s">
        <v>417</v>
      </c>
      <c r="E78" s="316" t="s">
        <v>417</v>
      </c>
      <c r="F78" s="319" t="s">
        <v>744</v>
      </c>
      <c r="G78" s="322">
        <v>4</v>
      </c>
      <c r="H78" s="325">
        <v>4</v>
      </c>
      <c r="I78" s="325">
        <v>3</v>
      </c>
      <c r="J78" s="328">
        <f>G78*H78*I78</f>
        <v>48</v>
      </c>
      <c r="K78" s="165" t="s">
        <v>420</v>
      </c>
      <c r="L78" s="166" t="s">
        <v>436</v>
      </c>
      <c r="M78" s="163">
        <v>3</v>
      </c>
      <c r="N78" s="164">
        <v>3</v>
      </c>
      <c r="O78" s="264">
        <f>J78*M78*N78</f>
        <v>432</v>
      </c>
      <c r="P78" s="160" t="s">
        <v>960</v>
      </c>
      <c r="Q78" s="152" t="s">
        <v>836</v>
      </c>
      <c r="R78" s="156">
        <v>2</v>
      </c>
      <c r="S78" s="157">
        <v>2</v>
      </c>
      <c r="T78" s="260">
        <f>J78*R78*S78</f>
        <v>192</v>
      </c>
      <c r="U78" s="150"/>
      <c r="V78" s="184"/>
    </row>
    <row r="79" spans="1:22" ht="221">
      <c r="A79" s="310"/>
      <c r="B79" s="313"/>
      <c r="C79" s="316"/>
      <c r="D79" s="316"/>
      <c r="E79" s="316"/>
      <c r="F79" s="319"/>
      <c r="G79" s="322"/>
      <c r="H79" s="325"/>
      <c r="I79" s="325"/>
      <c r="J79" s="328"/>
      <c r="K79" s="165" t="s">
        <v>419</v>
      </c>
      <c r="L79" s="166" t="s">
        <v>830</v>
      </c>
      <c r="M79" s="163">
        <v>3</v>
      </c>
      <c r="N79" s="164">
        <v>4</v>
      </c>
      <c r="O79" s="262">
        <f>J78*M79*N79</f>
        <v>576</v>
      </c>
      <c r="P79" s="160" t="s">
        <v>975</v>
      </c>
      <c r="Q79" s="152" t="s">
        <v>837</v>
      </c>
      <c r="R79" s="156">
        <v>2</v>
      </c>
      <c r="S79" s="157">
        <v>2</v>
      </c>
      <c r="T79" s="260">
        <f>J78*R79*S79</f>
        <v>192</v>
      </c>
      <c r="U79" s="150"/>
      <c r="V79" s="184"/>
    </row>
    <row r="80" spans="1:22" ht="143">
      <c r="A80" s="310"/>
      <c r="B80" s="313"/>
      <c r="C80" s="316"/>
      <c r="D80" s="316"/>
      <c r="E80" s="316"/>
      <c r="F80" s="319"/>
      <c r="G80" s="322"/>
      <c r="H80" s="325"/>
      <c r="I80" s="325"/>
      <c r="J80" s="328"/>
      <c r="K80" s="165" t="s">
        <v>555</v>
      </c>
      <c r="L80" s="166" t="s">
        <v>831</v>
      </c>
      <c r="M80" s="163">
        <v>3</v>
      </c>
      <c r="N80" s="164">
        <v>3</v>
      </c>
      <c r="O80" s="264">
        <f>J78*M80*N80</f>
        <v>432</v>
      </c>
      <c r="P80" s="160" t="s">
        <v>974</v>
      </c>
      <c r="Q80" s="152" t="s">
        <v>894</v>
      </c>
      <c r="R80" s="156">
        <v>2</v>
      </c>
      <c r="S80" s="157">
        <v>2</v>
      </c>
      <c r="T80" s="260">
        <f>J78*R80*S80</f>
        <v>192</v>
      </c>
      <c r="U80" s="150"/>
      <c r="V80" s="184"/>
    </row>
    <row r="81" spans="1:22" ht="91">
      <c r="A81" s="311"/>
      <c r="B81" s="314"/>
      <c r="C81" s="317"/>
      <c r="D81" s="317"/>
      <c r="E81" s="317"/>
      <c r="F81" s="320"/>
      <c r="G81" s="323"/>
      <c r="H81" s="326"/>
      <c r="I81" s="326"/>
      <c r="J81" s="329"/>
      <c r="K81" s="165" t="s">
        <v>513</v>
      </c>
      <c r="L81" s="166" t="s">
        <v>832</v>
      </c>
      <c r="M81" s="163">
        <v>3</v>
      </c>
      <c r="N81" s="164">
        <v>4</v>
      </c>
      <c r="O81" s="262">
        <f>J78*M81*N81</f>
        <v>576</v>
      </c>
      <c r="P81" s="160" t="s">
        <v>840</v>
      </c>
      <c r="Q81" s="152" t="s">
        <v>841</v>
      </c>
      <c r="R81" s="156">
        <v>2</v>
      </c>
      <c r="S81" s="157">
        <v>2</v>
      </c>
      <c r="T81" s="260">
        <f>J78*R81*S81</f>
        <v>192</v>
      </c>
      <c r="U81" s="150"/>
      <c r="V81" s="184"/>
    </row>
    <row r="82" spans="1:22" ht="182">
      <c r="A82" s="309">
        <v>26</v>
      </c>
      <c r="B82" s="312" t="s">
        <v>959</v>
      </c>
      <c r="C82" s="315" t="s">
        <v>552</v>
      </c>
      <c r="D82" s="315" t="s">
        <v>895</v>
      </c>
      <c r="E82" s="315" t="s">
        <v>895</v>
      </c>
      <c r="F82" s="318" t="s">
        <v>744</v>
      </c>
      <c r="G82" s="321">
        <v>2</v>
      </c>
      <c r="H82" s="324">
        <v>2</v>
      </c>
      <c r="I82" s="324">
        <v>2</v>
      </c>
      <c r="J82" s="327">
        <f>G82*H82*I82</f>
        <v>8</v>
      </c>
      <c r="K82" s="165" t="s">
        <v>419</v>
      </c>
      <c r="L82" s="166" t="s">
        <v>965</v>
      </c>
      <c r="M82" s="163">
        <v>3</v>
      </c>
      <c r="N82" s="164">
        <v>2</v>
      </c>
      <c r="O82" s="264">
        <f>J82*M82*N82</f>
        <v>48</v>
      </c>
      <c r="P82" s="160" t="s">
        <v>961</v>
      </c>
      <c r="Q82" s="152" t="s">
        <v>969</v>
      </c>
      <c r="R82" s="156">
        <v>2</v>
      </c>
      <c r="S82" s="157">
        <v>2</v>
      </c>
      <c r="T82" s="260">
        <f>J82*R82*S82</f>
        <v>32</v>
      </c>
      <c r="U82" s="150"/>
      <c r="V82" s="184"/>
    </row>
    <row r="83" spans="1:22" ht="273">
      <c r="A83" s="311"/>
      <c r="B83" s="314"/>
      <c r="C83" s="317"/>
      <c r="D83" s="317"/>
      <c r="E83" s="317"/>
      <c r="F83" s="320"/>
      <c r="G83" s="323"/>
      <c r="H83" s="326"/>
      <c r="I83" s="326"/>
      <c r="J83" s="329"/>
      <c r="K83" s="165" t="s">
        <v>504</v>
      </c>
      <c r="L83" s="166" t="s">
        <v>966</v>
      </c>
      <c r="M83" s="163">
        <v>3</v>
      </c>
      <c r="N83" s="164">
        <v>4</v>
      </c>
      <c r="O83" s="262">
        <f>J82*M83*N83</f>
        <v>96</v>
      </c>
      <c r="P83" s="160" t="s">
        <v>967</v>
      </c>
      <c r="Q83" s="152" t="s">
        <v>896</v>
      </c>
      <c r="R83" s="156">
        <v>2</v>
      </c>
      <c r="S83" s="157">
        <v>2</v>
      </c>
      <c r="T83" s="260">
        <f>J82*R83*S83</f>
        <v>32</v>
      </c>
      <c r="U83" s="150"/>
      <c r="V83" s="184"/>
    </row>
    <row r="84" spans="1:22" ht="208">
      <c r="A84" s="309">
        <v>27</v>
      </c>
      <c r="B84" s="312" t="s">
        <v>897</v>
      </c>
      <c r="C84" s="315" t="s">
        <v>552</v>
      </c>
      <c r="D84" s="315" t="s">
        <v>417</v>
      </c>
      <c r="E84" s="315" t="s">
        <v>417</v>
      </c>
      <c r="F84" s="318" t="s">
        <v>423</v>
      </c>
      <c r="G84" s="321">
        <v>3</v>
      </c>
      <c r="H84" s="324">
        <v>3</v>
      </c>
      <c r="I84" s="324">
        <v>3</v>
      </c>
      <c r="J84" s="327">
        <f>G84*H84*I84</f>
        <v>27</v>
      </c>
      <c r="K84" s="165" t="s">
        <v>900</v>
      </c>
      <c r="L84" s="166" t="s">
        <v>903</v>
      </c>
      <c r="M84" s="163">
        <v>3</v>
      </c>
      <c r="N84" s="164">
        <v>3</v>
      </c>
      <c r="O84" s="264">
        <f>J84*M84*N84</f>
        <v>243</v>
      </c>
      <c r="P84" s="160" t="s">
        <v>973</v>
      </c>
      <c r="Q84" s="152" t="s">
        <v>901</v>
      </c>
      <c r="R84" s="156">
        <v>2</v>
      </c>
      <c r="S84" s="157">
        <v>2</v>
      </c>
      <c r="T84" s="260">
        <f>J84*R84*S84</f>
        <v>108</v>
      </c>
      <c r="U84" s="150"/>
      <c r="V84" s="184"/>
    </row>
    <row r="85" spans="1:22" ht="234">
      <c r="A85" s="310"/>
      <c r="B85" s="313"/>
      <c r="C85" s="316"/>
      <c r="D85" s="316"/>
      <c r="E85" s="316"/>
      <c r="F85" s="319"/>
      <c r="G85" s="322"/>
      <c r="H85" s="325"/>
      <c r="I85" s="325"/>
      <c r="J85" s="328"/>
      <c r="K85" s="165" t="s">
        <v>902</v>
      </c>
      <c r="L85" s="166" t="s">
        <v>904</v>
      </c>
      <c r="M85" s="163">
        <v>3</v>
      </c>
      <c r="N85" s="164">
        <v>4</v>
      </c>
      <c r="O85" s="262">
        <f>J84*M85*N85</f>
        <v>324</v>
      </c>
      <c r="P85" s="160" t="s">
        <v>968</v>
      </c>
      <c r="Q85" s="152" t="s">
        <v>970</v>
      </c>
      <c r="R85" s="156">
        <v>2</v>
      </c>
      <c r="S85" s="157">
        <v>2</v>
      </c>
      <c r="T85" s="260">
        <f>J84*R85*S85</f>
        <v>108</v>
      </c>
      <c r="U85" s="150"/>
      <c r="V85" s="184"/>
    </row>
    <row r="86" spans="1:22" ht="169">
      <c r="A86" s="311"/>
      <c r="B86" s="314"/>
      <c r="C86" s="317"/>
      <c r="D86" s="317"/>
      <c r="E86" s="317"/>
      <c r="F86" s="320"/>
      <c r="G86" s="323"/>
      <c r="H86" s="326"/>
      <c r="I86" s="326"/>
      <c r="J86" s="329"/>
      <c r="K86" s="165" t="s">
        <v>905</v>
      </c>
      <c r="L86" s="166" t="s">
        <v>906</v>
      </c>
      <c r="M86" s="163">
        <v>3</v>
      </c>
      <c r="N86" s="164">
        <v>3</v>
      </c>
      <c r="O86" s="264">
        <f>J84*M86*N86</f>
        <v>243</v>
      </c>
      <c r="P86" s="160" t="s">
        <v>908</v>
      </c>
      <c r="Q86" s="152" t="s">
        <v>909</v>
      </c>
      <c r="R86" s="156">
        <v>2</v>
      </c>
      <c r="S86" s="157">
        <v>2</v>
      </c>
      <c r="T86" s="260">
        <f>J84*R86*S86</f>
        <v>108</v>
      </c>
      <c r="U86" s="150"/>
      <c r="V86" s="184"/>
    </row>
    <row r="95" spans="1:22" ht="15" thickBot="1"/>
    <row r="96" spans="1:22">
      <c r="B96" s="133"/>
      <c r="C96" s="134"/>
      <c r="D96" s="134"/>
      <c r="E96" s="134"/>
      <c r="F96" s="134"/>
      <c r="G96" s="134"/>
      <c r="H96" s="134"/>
      <c r="I96" s="134"/>
      <c r="J96" s="134"/>
      <c r="K96" s="134"/>
      <c r="L96" s="134"/>
      <c r="M96" s="134"/>
      <c r="N96" s="134"/>
      <c r="O96" s="134"/>
      <c r="P96" s="138"/>
    </row>
    <row r="97" spans="2:16">
      <c r="B97" s="135"/>
      <c r="P97" s="139"/>
    </row>
    <row r="98" spans="2:16" ht="18.5">
      <c r="B98" s="192" t="s">
        <v>547</v>
      </c>
      <c r="C98" s="193"/>
      <c r="D98" s="194"/>
      <c r="E98" s="194"/>
      <c r="F98" s="195"/>
      <c r="G98" s="195"/>
      <c r="H98" s="195"/>
      <c r="I98" s="195"/>
      <c r="J98" s="195"/>
      <c r="K98" s="196" t="s">
        <v>550</v>
      </c>
      <c r="L98" s="193"/>
      <c r="M98" s="195"/>
      <c r="N98" s="195"/>
      <c r="O98" s="195"/>
      <c r="P98" s="139"/>
    </row>
    <row r="99" spans="2:16" ht="18.5">
      <c r="B99" s="197"/>
      <c r="C99" s="195"/>
      <c r="D99" s="195"/>
      <c r="E99" s="195"/>
      <c r="F99" s="195"/>
      <c r="G99" s="195"/>
      <c r="H99" s="195"/>
      <c r="I99" s="195"/>
      <c r="J99" s="195"/>
      <c r="K99" s="198"/>
      <c r="L99" s="199"/>
      <c r="M99" s="195"/>
      <c r="N99" s="195"/>
      <c r="O99" s="195"/>
      <c r="P99" s="139"/>
    </row>
    <row r="100" spans="2:16" ht="18.5">
      <c r="B100" s="197"/>
      <c r="C100" s="195"/>
      <c r="D100" s="195"/>
      <c r="E100" s="195"/>
      <c r="F100" s="195"/>
      <c r="G100" s="195"/>
      <c r="H100" s="195"/>
      <c r="I100" s="195"/>
      <c r="J100" s="195"/>
      <c r="K100" s="198"/>
      <c r="L100" s="199"/>
      <c r="M100" s="195"/>
      <c r="N100" s="195"/>
      <c r="O100" s="195"/>
      <c r="P100" s="139"/>
    </row>
    <row r="101" spans="2:16" ht="18.5">
      <c r="B101" s="197"/>
      <c r="C101" s="195"/>
      <c r="D101" s="195"/>
      <c r="E101" s="195"/>
      <c r="F101" s="195"/>
      <c r="G101" s="195"/>
      <c r="H101" s="195"/>
      <c r="I101" s="195"/>
      <c r="J101" s="195"/>
      <c r="K101" s="198"/>
      <c r="L101" s="199"/>
      <c r="M101" s="195"/>
      <c r="N101" s="195"/>
      <c r="O101" s="195"/>
      <c r="P101" s="139"/>
    </row>
    <row r="102" spans="2:16" ht="18.5">
      <c r="B102" s="197"/>
      <c r="C102" s="195"/>
      <c r="D102" s="195"/>
      <c r="E102" s="195"/>
      <c r="F102" s="195"/>
      <c r="G102" s="195"/>
      <c r="H102" s="195"/>
      <c r="I102" s="195"/>
      <c r="J102" s="195"/>
      <c r="K102" s="198"/>
      <c r="L102" s="199"/>
      <c r="M102" s="195"/>
      <c r="N102" s="195"/>
      <c r="O102" s="195"/>
      <c r="P102" s="139"/>
    </row>
    <row r="103" spans="2:16" ht="18.5">
      <c r="B103" s="197" t="s">
        <v>548</v>
      </c>
      <c r="C103" s="199" t="s">
        <v>549</v>
      </c>
      <c r="D103" s="195"/>
      <c r="E103" s="195"/>
      <c r="F103" s="195"/>
      <c r="G103" s="195"/>
      <c r="H103" s="195"/>
      <c r="I103" s="195"/>
      <c r="J103" s="195"/>
      <c r="K103" s="198" t="s">
        <v>548</v>
      </c>
      <c r="L103" s="199" t="s">
        <v>549</v>
      </c>
      <c r="M103" s="195"/>
      <c r="N103" s="195"/>
      <c r="O103" s="195"/>
      <c r="P103" s="139"/>
    </row>
    <row r="104" spans="2:16" ht="18.5">
      <c r="B104" s="197"/>
      <c r="C104" s="195"/>
      <c r="D104" s="195"/>
      <c r="E104" s="195"/>
      <c r="F104" s="195"/>
      <c r="G104" s="195"/>
      <c r="H104" s="195"/>
      <c r="I104" s="195"/>
      <c r="J104" s="195"/>
      <c r="K104" s="198"/>
      <c r="L104" s="199"/>
      <c r="M104" s="195"/>
      <c r="N104" s="195"/>
      <c r="O104" s="195"/>
      <c r="P104" s="139"/>
    </row>
    <row r="105" spans="2:16" ht="18.5">
      <c r="B105" s="197"/>
      <c r="C105" s="195"/>
      <c r="D105" s="195"/>
      <c r="E105" s="195"/>
      <c r="F105" s="195"/>
      <c r="G105" s="195"/>
      <c r="H105" s="195"/>
      <c r="I105" s="195"/>
      <c r="J105" s="195"/>
      <c r="K105" s="198"/>
      <c r="L105" s="199"/>
      <c r="M105" s="195"/>
      <c r="N105" s="195"/>
      <c r="O105" s="195"/>
      <c r="P105" s="139"/>
    </row>
    <row r="106" spans="2:16" ht="18.5">
      <c r="B106" s="200" t="s">
        <v>717</v>
      </c>
      <c r="C106" s="193" t="s">
        <v>715</v>
      </c>
      <c r="D106" s="195"/>
      <c r="E106" s="195"/>
      <c r="F106" s="195"/>
      <c r="G106" s="195"/>
      <c r="H106" s="195"/>
      <c r="I106" s="195"/>
      <c r="J106" s="195"/>
      <c r="K106" s="201" t="s">
        <v>718</v>
      </c>
      <c r="L106" s="193" t="s">
        <v>716</v>
      </c>
      <c r="M106" s="195"/>
      <c r="N106" s="195"/>
      <c r="O106" s="195"/>
      <c r="P106" s="139"/>
    </row>
    <row r="107" spans="2:16" ht="18.5">
      <c r="B107" s="197"/>
      <c r="C107" s="195"/>
      <c r="D107" s="195"/>
      <c r="E107" s="195"/>
      <c r="F107" s="195"/>
      <c r="G107" s="195"/>
      <c r="H107" s="195"/>
      <c r="I107" s="195"/>
      <c r="J107" s="195"/>
      <c r="K107" s="198"/>
      <c r="L107" s="199"/>
      <c r="M107" s="195"/>
      <c r="N107" s="195"/>
      <c r="O107" s="195"/>
      <c r="P107" s="139"/>
    </row>
    <row r="108" spans="2:16" ht="18.5">
      <c r="B108" s="200" t="s">
        <v>723</v>
      </c>
      <c r="C108" s="193" t="s">
        <v>722</v>
      </c>
      <c r="D108" s="195"/>
      <c r="E108" s="195"/>
      <c r="F108" s="195"/>
      <c r="G108" s="195"/>
      <c r="H108" s="195"/>
      <c r="I108" s="195"/>
      <c r="J108" s="195"/>
      <c r="K108" s="202" t="s">
        <v>724</v>
      </c>
      <c r="L108" s="193" t="s">
        <v>963</v>
      </c>
      <c r="M108" s="195"/>
      <c r="N108" s="195"/>
      <c r="O108" s="195"/>
      <c r="P108" s="139"/>
    </row>
    <row r="109" spans="2:16" ht="18.5">
      <c r="B109" s="197"/>
      <c r="C109" s="195"/>
      <c r="D109" s="195"/>
      <c r="E109" s="195"/>
      <c r="F109" s="195"/>
      <c r="G109" s="195"/>
      <c r="H109" s="195"/>
      <c r="I109" s="195"/>
      <c r="J109" s="195"/>
      <c r="K109" s="198"/>
      <c r="L109" s="199"/>
      <c r="M109" s="195"/>
      <c r="N109" s="195"/>
      <c r="O109" s="195"/>
      <c r="P109" s="139"/>
    </row>
    <row r="110" spans="2:16" ht="18.5">
      <c r="B110" s="200" t="s">
        <v>720</v>
      </c>
      <c r="C110" s="203" t="s">
        <v>997</v>
      </c>
      <c r="D110" s="195"/>
      <c r="E110" s="195"/>
      <c r="F110" s="195"/>
      <c r="G110" s="195"/>
      <c r="H110" s="195"/>
      <c r="I110" s="195"/>
      <c r="J110" s="195"/>
      <c r="K110" s="202" t="s">
        <v>719</v>
      </c>
      <c r="L110" s="203" t="s">
        <v>998</v>
      </c>
      <c r="M110" s="195"/>
      <c r="N110" s="195"/>
      <c r="O110" s="195"/>
      <c r="P110" s="139"/>
    </row>
    <row r="111" spans="2:16">
      <c r="B111" s="135"/>
      <c r="P111" s="139"/>
    </row>
    <row r="112" spans="2:16" ht="15" thickBot="1">
      <c r="B112" s="136"/>
      <c r="C112" s="137"/>
      <c r="D112" s="137"/>
      <c r="E112" s="137"/>
      <c r="F112" s="137"/>
      <c r="G112" s="137"/>
      <c r="H112" s="137"/>
      <c r="I112" s="137"/>
      <c r="J112" s="137"/>
      <c r="K112" s="137"/>
      <c r="L112" s="137"/>
      <c r="M112" s="137"/>
      <c r="N112" s="137"/>
      <c r="O112" s="137"/>
      <c r="P112" s="90"/>
    </row>
    <row r="115" spans="2:16" ht="15" thickBot="1"/>
    <row r="116" spans="2:16">
      <c r="B116" s="133"/>
      <c r="C116" s="134"/>
      <c r="D116" s="134"/>
      <c r="E116" s="134"/>
      <c r="F116" s="134"/>
      <c r="G116" s="134"/>
      <c r="H116" s="134"/>
      <c r="I116" s="134"/>
      <c r="J116" s="134"/>
      <c r="K116" s="134"/>
      <c r="L116" s="134"/>
      <c r="M116" s="134"/>
      <c r="N116" s="134"/>
      <c r="O116" s="134"/>
      <c r="P116" s="138"/>
    </row>
    <row r="117" spans="2:16" ht="18.5">
      <c r="B117" s="204" t="s">
        <v>551</v>
      </c>
      <c r="C117" s="193"/>
      <c r="D117" s="195"/>
      <c r="E117" s="195"/>
      <c r="F117" s="195"/>
      <c r="G117" s="195"/>
      <c r="H117" s="195"/>
      <c r="I117" s="195"/>
      <c r="J117" s="195"/>
      <c r="K117" s="198"/>
      <c r="L117" s="199"/>
      <c r="M117" s="195"/>
      <c r="N117" s="195"/>
      <c r="O117" s="195"/>
      <c r="P117" s="205"/>
    </row>
    <row r="118" spans="2:16" ht="18.5">
      <c r="B118" s="204"/>
      <c r="C118" s="199"/>
      <c r="D118" s="195"/>
      <c r="E118" s="195"/>
      <c r="F118" s="195"/>
      <c r="G118" s="195"/>
      <c r="H118" s="195"/>
      <c r="I118" s="195"/>
      <c r="J118" s="195"/>
      <c r="K118" s="198"/>
      <c r="L118" s="199"/>
      <c r="M118" s="195"/>
      <c r="N118" s="195"/>
      <c r="O118" s="195"/>
      <c r="P118" s="205"/>
    </row>
    <row r="119" spans="2:16" ht="18.5">
      <c r="B119" s="204"/>
      <c r="C119" s="199"/>
      <c r="D119" s="195"/>
      <c r="E119" s="195"/>
      <c r="F119" s="195"/>
      <c r="G119" s="195"/>
      <c r="H119" s="195"/>
      <c r="I119" s="195"/>
      <c r="J119" s="195"/>
      <c r="K119" s="198"/>
      <c r="L119" s="199"/>
      <c r="M119" s="195"/>
      <c r="N119" s="195"/>
      <c r="O119" s="195"/>
      <c r="P119" s="205"/>
    </row>
    <row r="120" spans="2:16" ht="18.5">
      <c r="B120" s="204"/>
      <c r="C120" s="199"/>
      <c r="D120" s="195"/>
      <c r="E120" s="195"/>
      <c r="F120" s="195"/>
      <c r="G120" s="195"/>
      <c r="H120" s="195"/>
      <c r="I120" s="195"/>
      <c r="J120" s="195"/>
      <c r="K120" s="198"/>
      <c r="L120" s="199"/>
      <c r="M120" s="195"/>
      <c r="N120" s="195"/>
      <c r="O120" s="195"/>
      <c r="P120" s="205"/>
    </row>
    <row r="121" spans="2:16" ht="18.5">
      <c r="B121" s="204"/>
      <c r="C121" s="199"/>
      <c r="D121" s="195"/>
      <c r="E121" s="195"/>
      <c r="F121" s="195"/>
      <c r="G121" s="195"/>
      <c r="H121" s="195"/>
      <c r="I121" s="195"/>
      <c r="J121" s="195"/>
      <c r="K121" s="198"/>
      <c r="L121" s="199"/>
      <c r="M121" s="195"/>
      <c r="N121" s="195"/>
      <c r="O121" s="195"/>
      <c r="P121" s="205"/>
    </row>
    <row r="122" spans="2:16" ht="18.5">
      <c r="B122" s="204"/>
      <c r="C122" s="199"/>
      <c r="D122" s="195"/>
      <c r="E122" s="195"/>
      <c r="F122" s="195"/>
      <c r="G122" s="195"/>
      <c r="H122" s="195"/>
      <c r="I122" s="195"/>
      <c r="J122" s="195"/>
      <c r="K122" s="198"/>
      <c r="L122" s="199"/>
      <c r="M122" s="195"/>
      <c r="N122" s="195"/>
      <c r="O122" s="195"/>
      <c r="P122" s="205"/>
    </row>
    <row r="123" spans="2:16" ht="18.5">
      <c r="B123" s="204" t="s">
        <v>548</v>
      </c>
      <c r="C123" s="199" t="s">
        <v>549</v>
      </c>
      <c r="D123" s="195"/>
      <c r="E123" s="195"/>
      <c r="F123" s="195"/>
      <c r="G123" s="195"/>
      <c r="H123" s="195"/>
      <c r="I123" s="195"/>
      <c r="J123" s="195"/>
      <c r="K123" s="198"/>
      <c r="L123" s="199"/>
      <c r="M123" s="195"/>
      <c r="N123" s="195"/>
      <c r="O123" s="195"/>
      <c r="P123" s="205"/>
    </row>
    <row r="124" spans="2:16" ht="18.5">
      <c r="B124" s="204"/>
      <c r="C124" s="199"/>
      <c r="D124" s="195"/>
      <c r="E124" s="195"/>
      <c r="F124" s="195"/>
      <c r="G124" s="195"/>
      <c r="H124" s="195"/>
      <c r="I124" s="195"/>
      <c r="J124" s="195"/>
      <c r="K124" s="198"/>
      <c r="L124" s="199"/>
      <c r="M124" s="195"/>
      <c r="N124" s="195"/>
      <c r="O124" s="195"/>
      <c r="P124" s="205"/>
    </row>
    <row r="125" spans="2:16" ht="18.5">
      <c r="B125" s="206" t="s">
        <v>717</v>
      </c>
      <c r="C125" s="193" t="s">
        <v>964</v>
      </c>
      <c r="D125" s="195"/>
      <c r="E125" s="195"/>
      <c r="F125" s="195"/>
      <c r="G125" s="195"/>
      <c r="H125" s="195"/>
      <c r="I125" s="195"/>
      <c r="J125" s="195"/>
      <c r="K125" s="198"/>
      <c r="L125" s="199"/>
      <c r="M125" s="195"/>
      <c r="N125" s="195"/>
      <c r="O125" s="195"/>
      <c r="P125" s="205"/>
    </row>
    <row r="126" spans="2:16" ht="18.5">
      <c r="B126" s="204"/>
      <c r="C126" s="199"/>
      <c r="D126" s="195"/>
      <c r="E126" s="195"/>
      <c r="F126" s="195"/>
      <c r="G126" s="195"/>
      <c r="H126" s="195"/>
      <c r="I126" s="195"/>
      <c r="J126" s="195"/>
      <c r="K126" s="198"/>
      <c r="L126" s="199"/>
      <c r="M126" s="195"/>
      <c r="N126" s="195"/>
      <c r="O126" s="195"/>
      <c r="P126" s="205"/>
    </row>
    <row r="127" spans="2:16" ht="18.5">
      <c r="B127" s="206" t="s">
        <v>721</v>
      </c>
      <c r="C127" s="193" t="s">
        <v>727</v>
      </c>
      <c r="D127" s="195"/>
      <c r="E127" s="195"/>
      <c r="F127" s="195"/>
      <c r="G127" s="195"/>
      <c r="H127" s="195"/>
      <c r="I127" s="195"/>
      <c r="J127" s="195"/>
      <c r="K127" s="198"/>
      <c r="L127" s="199"/>
      <c r="M127" s="195"/>
      <c r="N127" s="195"/>
      <c r="O127" s="195"/>
      <c r="P127" s="205"/>
    </row>
    <row r="128" spans="2:16" ht="18.5">
      <c r="B128" s="204"/>
      <c r="C128" s="199"/>
      <c r="D128" s="195"/>
      <c r="E128" s="195"/>
      <c r="F128" s="195"/>
      <c r="G128" s="195"/>
      <c r="H128" s="195"/>
      <c r="I128" s="195"/>
      <c r="J128" s="195"/>
      <c r="K128" s="198"/>
      <c r="L128" s="199"/>
      <c r="M128" s="195"/>
      <c r="N128" s="195"/>
      <c r="O128" s="195"/>
      <c r="P128" s="205"/>
    </row>
    <row r="129" spans="2:16" ht="18.5">
      <c r="B129" s="206" t="s">
        <v>720</v>
      </c>
      <c r="C129" s="203" t="s">
        <v>998</v>
      </c>
      <c r="D129" s="195"/>
      <c r="E129" s="195"/>
      <c r="F129" s="195"/>
      <c r="G129" s="195"/>
      <c r="H129" s="195"/>
      <c r="I129" s="195"/>
      <c r="J129" s="195"/>
      <c r="K129" s="198"/>
      <c r="L129" s="199"/>
      <c r="M129" s="195"/>
      <c r="N129" s="195"/>
      <c r="O129" s="195"/>
      <c r="P129" s="205"/>
    </row>
    <row r="130" spans="2:16" ht="18.5">
      <c r="B130" s="207"/>
      <c r="C130" s="195"/>
      <c r="D130" s="195"/>
      <c r="E130" s="195"/>
      <c r="F130" s="195"/>
      <c r="G130" s="195"/>
      <c r="H130" s="195"/>
      <c r="I130" s="195"/>
      <c r="J130" s="195"/>
      <c r="K130" s="195"/>
      <c r="L130" s="195"/>
      <c r="M130" s="195"/>
      <c r="N130" s="195"/>
      <c r="O130" s="195"/>
      <c r="P130" s="205"/>
    </row>
    <row r="131" spans="2:16" ht="19" thickBot="1">
      <c r="B131" s="208"/>
      <c r="C131" s="209"/>
      <c r="D131" s="209"/>
      <c r="E131" s="209"/>
      <c r="F131" s="209"/>
      <c r="G131" s="209"/>
      <c r="H131" s="209"/>
      <c r="I131" s="209"/>
      <c r="J131" s="209"/>
      <c r="K131" s="209"/>
      <c r="L131" s="209"/>
      <c r="M131" s="209"/>
      <c r="N131" s="209"/>
      <c r="O131" s="209"/>
      <c r="P131" s="210"/>
    </row>
  </sheetData>
  <mergeCells count="220">
    <mergeCell ref="J78:J81"/>
    <mergeCell ref="A82:A83"/>
    <mergeCell ref="B82:B83"/>
    <mergeCell ref="C82:C83"/>
    <mergeCell ref="D82:D83"/>
    <mergeCell ref="E82:E83"/>
    <mergeCell ref="F82:F83"/>
    <mergeCell ref="G82:G83"/>
    <mergeCell ref="H82:H83"/>
    <mergeCell ref="I82:I83"/>
    <mergeCell ref="J82:J83"/>
    <mergeCell ref="A78:A81"/>
    <mergeCell ref="B78:B81"/>
    <mergeCell ref="C78:C81"/>
    <mergeCell ref="D78:D81"/>
    <mergeCell ref="E78:E81"/>
    <mergeCell ref="F78:F81"/>
    <mergeCell ref="G78:G81"/>
    <mergeCell ref="H78:H81"/>
    <mergeCell ref="I78:I81"/>
    <mergeCell ref="D68:D72"/>
    <mergeCell ref="E68:E72"/>
    <mergeCell ref="F68:F72"/>
    <mergeCell ref="A73:A77"/>
    <mergeCell ref="B73:B77"/>
    <mergeCell ref="C73:C77"/>
    <mergeCell ref="D73:D77"/>
    <mergeCell ref="E73:E77"/>
    <mergeCell ref="F73:F77"/>
    <mergeCell ref="B68:B72"/>
    <mergeCell ref="A68:A72"/>
    <mergeCell ref="C68:C72"/>
    <mergeCell ref="G68:G72"/>
    <mergeCell ref="H68:H72"/>
    <mergeCell ref="I68:I72"/>
    <mergeCell ref="J68:J72"/>
    <mergeCell ref="H22:H23"/>
    <mergeCell ref="I22:I23"/>
    <mergeCell ref="J22:J23"/>
    <mergeCell ref="A55:A59"/>
    <mergeCell ref="B55:B59"/>
    <mergeCell ref="C55:C59"/>
    <mergeCell ref="D55:D59"/>
    <mergeCell ref="E55:E59"/>
    <mergeCell ref="F55:F59"/>
    <mergeCell ref="G55:G59"/>
    <mergeCell ref="H55:H59"/>
    <mergeCell ref="I55:I59"/>
    <mergeCell ref="J55:J59"/>
    <mergeCell ref="A39:A43"/>
    <mergeCell ref="B39:B43"/>
    <mergeCell ref="C39:C43"/>
    <mergeCell ref="D39:D43"/>
    <mergeCell ref="E39:E43"/>
    <mergeCell ref="F39:F43"/>
    <mergeCell ref="A33:A34"/>
    <mergeCell ref="B33:B34"/>
    <mergeCell ref="C33:C34"/>
    <mergeCell ref="D33:D34"/>
    <mergeCell ref="E33:E34"/>
    <mergeCell ref="E11:E14"/>
    <mergeCell ref="F11:F14"/>
    <mergeCell ref="F15:F16"/>
    <mergeCell ref="E24:E25"/>
    <mergeCell ref="F24:F25"/>
    <mergeCell ref="B11:B14"/>
    <mergeCell ref="C11:C14"/>
    <mergeCell ref="D11:D14"/>
    <mergeCell ref="A28:A32"/>
    <mergeCell ref="B28:B32"/>
    <mergeCell ref="C28:C32"/>
    <mergeCell ref="D28:D32"/>
    <mergeCell ref="E28:E32"/>
    <mergeCell ref="F28:F32"/>
    <mergeCell ref="A24:A25"/>
    <mergeCell ref="B24:B25"/>
    <mergeCell ref="C24:C25"/>
    <mergeCell ref="D24:D25"/>
    <mergeCell ref="A22:A23"/>
    <mergeCell ref="B22:B23"/>
    <mergeCell ref="C22:C23"/>
    <mergeCell ref="D22:D23"/>
    <mergeCell ref="E22:E23"/>
    <mergeCell ref="F22:F23"/>
    <mergeCell ref="G22:G23"/>
    <mergeCell ref="D15:D16"/>
    <mergeCell ref="E15:E16"/>
    <mergeCell ref="E17:E21"/>
    <mergeCell ref="A15:A16"/>
    <mergeCell ref="B15:B16"/>
    <mergeCell ref="C15:C16"/>
    <mergeCell ref="F45:F46"/>
    <mergeCell ref="A51:A54"/>
    <mergeCell ref="B51:B54"/>
    <mergeCell ref="C51:C54"/>
    <mergeCell ref="D51:D54"/>
    <mergeCell ref="E51:E54"/>
    <mergeCell ref="F51:F54"/>
    <mergeCell ref="A48:A50"/>
    <mergeCell ref="B48:B50"/>
    <mergeCell ref="C48:C50"/>
    <mergeCell ref="D48:D50"/>
    <mergeCell ref="E48:E50"/>
    <mergeCell ref="F48:F50"/>
    <mergeCell ref="F2:F7"/>
    <mergeCell ref="A2:A7"/>
    <mergeCell ref="B2:B7"/>
    <mergeCell ref="C2:C7"/>
    <mergeCell ref="D2:D7"/>
    <mergeCell ref="E2:E7"/>
    <mergeCell ref="F17:F21"/>
    <mergeCell ref="A8:A10"/>
    <mergeCell ref="B8:B10"/>
    <mergeCell ref="C8:C10"/>
    <mergeCell ref="D8:D10"/>
    <mergeCell ref="E8:E10"/>
    <mergeCell ref="F8:F10"/>
    <mergeCell ref="A17:A21"/>
    <mergeCell ref="B17:B21"/>
    <mergeCell ref="C17:C21"/>
    <mergeCell ref="D17:D21"/>
    <mergeCell ref="A11:A14"/>
    <mergeCell ref="A60:A65"/>
    <mergeCell ref="B60:B65"/>
    <mergeCell ref="C60:C65"/>
    <mergeCell ref="D60:D65"/>
    <mergeCell ref="E60:E65"/>
    <mergeCell ref="F60:F65"/>
    <mergeCell ref="G2:G7"/>
    <mergeCell ref="H2:H7"/>
    <mergeCell ref="I2:I7"/>
    <mergeCell ref="G24:G25"/>
    <mergeCell ref="H24:H25"/>
    <mergeCell ref="I24:I25"/>
    <mergeCell ref="I33:I34"/>
    <mergeCell ref="A26:A27"/>
    <mergeCell ref="B35:B37"/>
    <mergeCell ref="C35:C37"/>
    <mergeCell ref="A35:A37"/>
    <mergeCell ref="B26:B27"/>
    <mergeCell ref="C26:C27"/>
    <mergeCell ref="A45:A46"/>
    <mergeCell ref="B45:B46"/>
    <mergeCell ref="C45:C46"/>
    <mergeCell ref="D45:D46"/>
    <mergeCell ref="E45:E46"/>
    <mergeCell ref="J2:J7"/>
    <mergeCell ref="G8:G10"/>
    <mergeCell ref="H8:H10"/>
    <mergeCell ref="I8:I10"/>
    <mergeCell ref="J8:J10"/>
    <mergeCell ref="G17:G21"/>
    <mergeCell ref="H17:H21"/>
    <mergeCell ref="I17:I21"/>
    <mergeCell ref="J17:J21"/>
    <mergeCell ref="G15:G16"/>
    <mergeCell ref="H15:H16"/>
    <mergeCell ref="I15:I16"/>
    <mergeCell ref="J15:J16"/>
    <mergeCell ref="I11:I14"/>
    <mergeCell ref="J11:J14"/>
    <mergeCell ref="G11:G14"/>
    <mergeCell ref="H11:H14"/>
    <mergeCell ref="J33:J34"/>
    <mergeCell ref="J24:J25"/>
    <mergeCell ref="G28:G32"/>
    <mergeCell ref="H28:H32"/>
    <mergeCell ref="I28:I32"/>
    <mergeCell ref="J28:J32"/>
    <mergeCell ref="G39:G43"/>
    <mergeCell ref="H39:H43"/>
    <mergeCell ref="I39:I43"/>
    <mergeCell ref="J39:J43"/>
    <mergeCell ref="I45:I46"/>
    <mergeCell ref="G51:G54"/>
    <mergeCell ref="H51:H54"/>
    <mergeCell ref="I51:I54"/>
    <mergeCell ref="J51:J54"/>
    <mergeCell ref="G60:G65"/>
    <mergeCell ref="H60:H65"/>
    <mergeCell ref="I60:I65"/>
    <mergeCell ref="J60:J65"/>
    <mergeCell ref="J48:J50"/>
    <mergeCell ref="G48:G50"/>
    <mergeCell ref="H48:H50"/>
    <mergeCell ref="I48:I50"/>
    <mergeCell ref="G73:G77"/>
    <mergeCell ref="H73:H77"/>
    <mergeCell ref="I73:I77"/>
    <mergeCell ref="J73:J77"/>
    <mergeCell ref="G26:G27"/>
    <mergeCell ref="H26:H27"/>
    <mergeCell ref="I26:I27"/>
    <mergeCell ref="J26:J27"/>
    <mergeCell ref="D26:D27"/>
    <mergeCell ref="E26:E27"/>
    <mergeCell ref="F26:F27"/>
    <mergeCell ref="D35:D37"/>
    <mergeCell ref="E35:E37"/>
    <mergeCell ref="F35:F37"/>
    <mergeCell ref="G35:G37"/>
    <mergeCell ref="H35:H37"/>
    <mergeCell ref="I35:I37"/>
    <mergeCell ref="J35:J37"/>
    <mergeCell ref="G33:G34"/>
    <mergeCell ref="H33:H34"/>
    <mergeCell ref="F33:F34"/>
    <mergeCell ref="J45:J46"/>
    <mergeCell ref="G45:G46"/>
    <mergeCell ref="H45:H46"/>
    <mergeCell ref="A84:A86"/>
    <mergeCell ref="B84:B86"/>
    <mergeCell ref="C84:C86"/>
    <mergeCell ref="D84:D86"/>
    <mergeCell ref="E84:E86"/>
    <mergeCell ref="F84:F86"/>
    <mergeCell ref="G84:G86"/>
    <mergeCell ref="H84:H86"/>
    <mergeCell ref="J84:J86"/>
    <mergeCell ref="I84:I86"/>
  </mergeCells>
  <conditionalFormatting sqref="U1:V1">
    <cfRule type="containsText" dxfId="32" priority="9769" operator="containsText" text="C1">
      <formula>NOT(ISERROR(SEARCH("C1",U1)))</formula>
    </cfRule>
    <cfRule type="containsText" dxfId="31" priority="9770" operator="containsText" text="B1">
      <formula>NOT(ISERROR(SEARCH("B1",U1)))</formula>
    </cfRule>
    <cfRule type="containsText" dxfId="30" priority="9771" operator="containsText" text="B2">
      <formula>NOT(ISERROR(SEARCH("B2",U1)))</formula>
    </cfRule>
    <cfRule type="containsText" dxfId="29" priority="9772" operator="containsText" text="A1">
      <formula>NOT(ISERROR(SEARCH("A1",U1)))</formula>
    </cfRule>
    <cfRule type="containsText" dxfId="28" priority="9773" operator="containsText" text="A2">
      <formula>NOT(ISERROR(SEARCH("A2",U1)))</formula>
    </cfRule>
    <cfRule type="containsText" dxfId="27" priority="9774" operator="containsText" text="A3">
      <formula>NOT(ISERROR(SEARCH("A3",U1)))</formula>
    </cfRule>
    <cfRule type="containsText" dxfId="26" priority="9775" operator="containsText" text="E1">
      <formula>NOT(ISERROR(SEARCH("E1",U1)))</formula>
    </cfRule>
    <cfRule type="containsText" dxfId="25" priority="9776" operator="containsText" text="D1">
      <formula>NOT(ISERROR(SEARCH("D1",U1)))</formula>
    </cfRule>
    <cfRule type="cellIs" dxfId="24" priority="9777" operator="equal">
      <formula>"D2"</formula>
    </cfRule>
    <cfRule type="cellIs" dxfId="23" priority="9778" operator="equal">
      <formula>"A4"</formula>
    </cfRule>
    <cfRule type="containsText" dxfId="22" priority="9779" operator="containsText" text="B3">
      <formula>NOT(ISERROR(SEARCH("B3",U1)))</formula>
    </cfRule>
    <cfRule type="containsText" dxfId="21" priority="9780" operator="containsText" text="C3">
      <formula>NOT(ISERROR(SEARCH("C3",U1)))</formula>
    </cfRule>
    <cfRule type="cellIs" dxfId="20" priority="9781" operator="equal">
      <formula>"C2"</formula>
    </cfRule>
    <cfRule type="containsText" dxfId="19" priority="9782" operator="containsText" text="B4">
      <formula>NOT(ISERROR(SEARCH("B4",U1)))</formula>
    </cfRule>
    <cfRule type="containsText" dxfId="18" priority="9783" operator="containsText" text="C4">
      <formula>NOT(ISERROR(SEARCH("C4",U1)))</formula>
    </cfRule>
    <cfRule type="containsText" dxfId="17" priority="9784" operator="containsText" text="D3">
      <formula>NOT(ISERROR(SEARCH("D3",U1)))</formula>
    </cfRule>
    <cfRule type="containsText" dxfId="16" priority="9785" operator="containsText" text="D4">
      <formula>NOT(ISERROR(SEARCH("D4",U1)))</formula>
    </cfRule>
    <cfRule type="containsText" dxfId="15" priority="9786" operator="containsText" text="E2">
      <formula>NOT(ISERROR(SEARCH("E2",U1)))</formula>
    </cfRule>
    <cfRule type="containsText" dxfId="14" priority="9787" operator="containsText" text="E3">
      <formula>NOT(ISERROR(SEARCH("E3",U1)))</formula>
    </cfRule>
    <cfRule type="containsText" dxfId="13" priority="9788" operator="containsText" text="E4">
      <formula>NOT(ISERROR(SEARCH("E4",U1)))</formula>
    </cfRule>
    <cfRule type="containsText" dxfId="12" priority="9789" operator="containsText" text="F1">
      <formula>NOT(ISERROR(SEARCH("F1",U1)))</formula>
    </cfRule>
    <cfRule type="containsText" dxfId="11" priority="9790" operator="containsText" text="F2">
      <formula>NOT(ISERROR(SEARCH("F2",U1)))</formula>
    </cfRule>
    <cfRule type="containsText" dxfId="10" priority="9791" operator="containsText" text="F3">
      <formula>NOT(ISERROR(SEARCH("F3",U1)))</formula>
    </cfRule>
    <cfRule type="containsText" dxfId="9" priority="9792" operator="containsText" text="F4">
      <formula>NOT(ISERROR(SEARCH("F4",U1)))</formula>
    </cfRule>
  </conditionalFormatting>
  <printOptions horizontalCentered="1"/>
  <pageMargins left="0" right="0" top="0.39" bottom="0" header="0" footer="0"/>
  <pageSetup paperSize="9" scale="42" fitToHeight="0" orientation="landscape" r:id="rId1"/>
  <headerFooter>
    <oddFooter>&amp;L
  &amp;F</oddFooter>
  </headerFooter>
  <rowBreaks count="4" manualBreakCount="4">
    <brk id="7" max="21" man="1"/>
    <brk id="16" max="21" man="1"/>
    <brk id="38" max="21" man="1"/>
    <brk id="90" max="2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14"/>
  <sheetViews>
    <sheetView workbookViewId="0">
      <selection activeCell="A17" sqref="A17"/>
    </sheetView>
  </sheetViews>
  <sheetFormatPr defaultRowHeight="14.5"/>
  <sheetData>
    <row r="1" spans="1:15" ht="21.5">
      <c r="A1" s="344" t="s">
        <v>11</v>
      </c>
      <c r="B1" s="344"/>
      <c r="C1" s="344"/>
      <c r="D1" s="344"/>
      <c r="E1" s="344"/>
      <c r="F1" s="344"/>
      <c r="G1" s="344"/>
      <c r="H1" s="344"/>
      <c r="I1" s="344"/>
      <c r="J1" s="344"/>
      <c r="K1" s="344"/>
      <c r="L1" s="344"/>
      <c r="M1" s="344"/>
      <c r="N1" s="344"/>
      <c r="O1" s="344"/>
    </row>
    <row r="2" spans="1:15" ht="22" thickBot="1">
      <c r="A2" s="91"/>
      <c r="B2" s="91"/>
      <c r="C2" s="91"/>
      <c r="D2" s="91"/>
      <c r="E2" s="91"/>
      <c r="F2" s="91"/>
      <c r="G2" s="91"/>
      <c r="H2" s="91"/>
      <c r="I2" s="91"/>
      <c r="J2" s="91"/>
      <c r="K2" s="91"/>
      <c r="L2" s="91"/>
      <c r="M2" s="91"/>
      <c r="N2" s="91"/>
      <c r="O2" s="91"/>
    </row>
    <row r="3" spans="1:15" ht="51" thickBot="1">
      <c r="A3" s="104" t="s">
        <v>12</v>
      </c>
      <c r="B3" s="92"/>
      <c r="C3" s="100" t="s">
        <v>13</v>
      </c>
      <c r="D3" s="92"/>
      <c r="E3" s="92"/>
      <c r="F3" s="92"/>
      <c r="G3" s="92"/>
      <c r="H3" s="92"/>
      <c r="I3" s="92"/>
      <c r="J3" s="92"/>
      <c r="K3" s="92"/>
      <c r="L3" s="92"/>
      <c r="M3" s="92"/>
      <c r="N3" s="92"/>
      <c r="O3" s="93" t="s">
        <v>10</v>
      </c>
    </row>
    <row r="4" spans="1:15" ht="16" thickBot="1">
      <c r="A4" s="94"/>
      <c r="B4" s="95"/>
      <c r="C4" s="96"/>
      <c r="D4" s="95"/>
      <c r="E4" s="95"/>
      <c r="F4" s="95"/>
      <c r="G4" s="95"/>
      <c r="H4" s="95"/>
      <c r="I4" s="95"/>
      <c r="J4" s="95"/>
      <c r="K4" s="95"/>
      <c r="L4" s="95"/>
      <c r="M4" s="95"/>
      <c r="N4" s="95"/>
      <c r="O4" s="95"/>
    </row>
    <row r="5" spans="1:15" ht="100" thickBot="1">
      <c r="A5" s="104" t="s">
        <v>15</v>
      </c>
      <c r="B5" s="92"/>
      <c r="C5" s="103" t="s">
        <v>14</v>
      </c>
      <c r="D5" s="97"/>
      <c r="E5" s="100" t="s">
        <v>0</v>
      </c>
      <c r="F5" s="92"/>
      <c r="G5" s="92"/>
      <c r="H5" s="92"/>
      <c r="I5" s="92"/>
      <c r="J5" s="92"/>
      <c r="K5" s="92"/>
      <c r="L5" s="92"/>
      <c r="M5" s="92"/>
      <c r="N5" s="92"/>
      <c r="O5" s="93"/>
    </row>
    <row r="6" spans="1:15" ht="16" thickBot="1">
      <c r="A6" s="94"/>
      <c r="B6" s="95"/>
      <c r="C6" s="96"/>
      <c r="D6" s="95"/>
      <c r="E6" s="96"/>
      <c r="F6" s="95"/>
      <c r="G6" s="95"/>
      <c r="H6" s="95"/>
      <c r="I6" s="95"/>
      <c r="J6" s="95"/>
      <c r="K6" s="95"/>
      <c r="L6" s="95"/>
      <c r="M6" s="95"/>
      <c r="N6" s="95"/>
      <c r="O6" s="95"/>
    </row>
    <row r="7" spans="1:15" ht="59.5" thickBot="1">
      <c r="A7" s="104" t="s">
        <v>1</v>
      </c>
      <c r="B7" s="92"/>
      <c r="C7" s="92"/>
      <c r="D7" s="92"/>
      <c r="E7" s="102" t="s">
        <v>2</v>
      </c>
      <c r="F7" s="92"/>
      <c r="G7" s="92"/>
      <c r="H7" s="92"/>
      <c r="I7" s="92"/>
      <c r="J7" s="92"/>
      <c r="K7" s="92"/>
      <c r="L7" s="92"/>
      <c r="M7" s="92"/>
      <c r="N7" s="92"/>
      <c r="O7" s="93"/>
    </row>
    <row r="8" spans="1:15" ht="16" thickBot="1">
      <c r="A8" s="94"/>
      <c r="B8" s="95"/>
      <c r="C8" s="96"/>
      <c r="D8" s="95"/>
      <c r="E8" s="95"/>
      <c r="F8" s="95"/>
      <c r="G8" s="95"/>
      <c r="H8" s="95"/>
      <c r="I8" s="95"/>
      <c r="J8" s="95"/>
      <c r="K8" s="95"/>
      <c r="L8" s="95"/>
      <c r="M8" s="95"/>
      <c r="N8" s="95"/>
      <c r="O8" s="95"/>
    </row>
    <row r="9" spans="1:15" ht="53" thickBot="1">
      <c r="A9" s="104" t="s">
        <v>3</v>
      </c>
      <c r="B9" s="92"/>
      <c r="C9" s="92"/>
      <c r="D9" s="92"/>
      <c r="E9" s="92"/>
      <c r="F9" s="92"/>
      <c r="G9" s="101" t="s">
        <v>4</v>
      </c>
      <c r="H9" s="97"/>
      <c r="I9" s="100" t="s">
        <v>5</v>
      </c>
      <c r="J9" s="97"/>
      <c r="K9" s="101" t="s">
        <v>6</v>
      </c>
      <c r="L9" s="92"/>
      <c r="M9" s="92"/>
      <c r="N9" s="92"/>
      <c r="O9" s="93"/>
    </row>
    <row r="10" spans="1:15" ht="16" thickBot="1">
      <c r="A10" s="94"/>
      <c r="B10" s="95"/>
      <c r="C10" s="96"/>
      <c r="D10" s="95"/>
      <c r="E10" s="95"/>
      <c r="F10" s="95"/>
      <c r="G10" s="95"/>
      <c r="H10" s="95"/>
      <c r="I10" s="95"/>
      <c r="J10" s="95"/>
      <c r="K10" s="95"/>
      <c r="L10" s="95"/>
      <c r="M10" s="95"/>
      <c r="N10" s="95"/>
      <c r="O10" s="95"/>
    </row>
    <row r="11" spans="1:15" ht="47" thickBot="1">
      <c r="A11" s="104" t="s">
        <v>7</v>
      </c>
      <c r="B11" s="92"/>
      <c r="C11" s="92"/>
      <c r="D11" s="92"/>
      <c r="E11" s="92"/>
      <c r="F11" s="92"/>
      <c r="G11" s="92"/>
      <c r="H11" s="92"/>
      <c r="I11" s="92"/>
      <c r="J11" s="92"/>
      <c r="K11" s="92"/>
      <c r="L11" s="92"/>
      <c r="M11" s="100" t="s">
        <v>8</v>
      </c>
      <c r="N11" s="98"/>
      <c r="O11" s="99" t="s">
        <v>9</v>
      </c>
    </row>
    <row r="12" spans="1:15" ht="15.5">
      <c r="A12" s="1"/>
      <c r="B12" s="1"/>
      <c r="C12" s="1"/>
      <c r="D12" s="1"/>
      <c r="E12" s="1"/>
      <c r="F12" s="1"/>
      <c r="G12" s="1"/>
      <c r="H12" s="1"/>
      <c r="I12" s="1"/>
      <c r="J12" s="1"/>
      <c r="K12" s="1"/>
      <c r="L12" s="1"/>
      <c r="M12" s="1"/>
      <c r="N12" s="1"/>
      <c r="O12" s="1"/>
    </row>
    <row r="14" spans="1:15">
      <c r="F14" t="s">
        <v>10</v>
      </c>
    </row>
  </sheetData>
  <mergeCells count="1">
    <mergeCell ref="A1:O1"/>
  </mergeCells>
  <pageMargins left="0.7" right="0.7" top="0.75" bottom="0.75" header="0.3" footer="0.3"/>
  <pageSetup scale="87"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59"/>
  <sheetViews>
    <sheetView workbookViewId="0">
      <selection activeCell="I28" sqref="I28"/>
    </sheetView>
  </sheetViews>
  <sheetFormatPr defaultRowHeight="14.5"/>
  <cols>
    <col min="3" max="3" width="81.1796875" customWidth="1"/>
  </cols>
  <sheetData>
    <row r="1" spans="1:3" ht="15" thickBot="1">
      <c r="A1" s="11"/>
      <c r="B1" s="345" t="s">
        <v>89</v>
      </c>
      <c r="C1" s="345"/>
    </row>
    <row r="2" spans="1:3">
      <c r="A2" s="11"/>
      <c r="B2" s="12" t="s">
        <v>34</v>
      </c>
      <c r="C2" s="13"/>
    </row>
    <row r="3" spans="1:3">
      <c r="A3" s="11"/>
      <c r="B3" s="14"/>
      <c r="C3" s="15" t="s">
        <v>35</v>
      </c>
    </row>
    <row r="4" spans="1:3">
      <c r="A4" s="11"/>
      <c r="B4" s="14"/>
      <c r="C4" s="16" t="s">
        <v>36</v>
      </c>
    </row>
    <row r="5" spans="1:3">
      <c r="A5" s="11"/>
      <c r="B5" s="14"/>
      <c r="C5" s="16" t="s">
        <v>37</v>
      </c>
    </row>
    <row r="6" spans="1:3">
      <c r="A6" s="11"/>
      <c r="B6" s="14"/>
      <c r="C6" s="16" t="s">
        <v>38</v>
      </c>
    </row>
    <row r="7" spans="1:3">
      <c r="A7" s="11"/>
      <c r="B7" s="14"/>
      <c r="C7" s="16" t="s">
        <v>39</v>
      </c>
    </row>
    <row r="8" spans="1:3">
      <c r="A8" s="11"/>
      <c r="B8" s="14"/>
      <c r="C8" s="16" t="s">
        <v>40</v>
      </c>
    </row>
    <row r="9" spans="1:3">
      <c r="A9" s="11"/>
      <c r="B9" s="14"/>
      <c r="C9" s="16" t="s">
        <v>41</v>
      </c>
    </row>
    <row r="10" spans="1:3">
      <c r="A10" s="11"/>
      <c r="B10" s="14"/>
      <c r="C10" s="16" t="s">
        <v>42</v>
      </c>
    </row>
    <row r="11" spans="1:3">
      <c r="A11" s="11"/>
      <c r="B11" s="14"/>
      <c r="C11" s="16" t="s">
        <v>43</v>
      </c>
    </row>
    <row r="12" spans="1:3">
      <c r="A12" s="11"/>
      <c r="B12" s="14"/>
      <c r="C12" s="16" t="s">
        <v>44</v>
      </c>
    </row>
    <row r="13" spans="1:3">
      <c r="A13" s="11"/>
      <c r="B13" s="14"/>
      <c r="C13" s="16" t="s">
        <v>45</v>
      </c>
    </row>
    <row r="14" spans="1:3">
      <c r="A14" s="11"/>
      <c r="B14" s="14"/>
      <c r="C14" s="16" t="s">
        <v>46</v>
      </c>
    </row>
    <row r="15" spans="1:3">
      <c r="A15" s="11"/>
      <c r="B15" s="14"/>
      <c r="C15" s="16" t="s">
        <v>47</v>
      </c>
    </row>
    <row r="16" spans="1:3">
      <c r="A16" s="11"/>
      <c r="B16" s="14"/>
      <c r="C16" s="16" t="s">
        <v>48</v>
      </c>
    </row>
    <row r="17" spans="1:3" ht="15" thickBot="1">
      <c r="A17" s="11"/>
      <c r="B17" s="17"/>
      <c r="C17" s="18" t="s">
        <v>49</v>
      </c>
    </row>
    <row r="18" spans="1:3">
      <c r="A18" s="11"/>
      <c r="B18" s="19" t="s">
        <v>50</v>
      </c>
      <c r="C18" s="20"/>
    </row>
    <row r="19" spans="1:3">
      <c r="A19" s="11"/>
      <c r="B19" s="21"/>
      <c r="C19" s="15" t="s">
        <v>51</v>
      </c>
    </row>
    <row r="20" spans="1:3" ht="15" thickBot="1">
      <c r="A20" s="11"/>
      <c r="B20" s="22"/>
      <c r="C20" s="18" t="s">
        <v>52</v>
      </c>
    </row>
    <row r="21" spans="1:3">
      <c r="A21" s="11"/>
      <c r="B21" s="23" t="s">
        <v>53</v>
      </c>
      <c r="C21" s="24"/>
    </row>
    <row r="22" spans="1:3">
      <c r="A22" s="11"/>
      <c r="B22" s="25"/>
      <c r="C22" s="15" t="s">
        <v>54</v>
      </c>
    </row>
    <row r="23" spans="1:3">
      <c r="A23" s="11"/>
      <c r="B23" s="25"/>
      <c r="C23" s="16" t="s">
        <v>55</v>
      </c>
    </row>
    <row r="24" spans="1:3">
      <c r="A24" s="11"/>
      <c r="B24" s="25"/>
      <c r="C24" s="16" t="s">
        <v>56</v>
      </c>
    </row>
    <row r="25" spans="1:3">
      <c r="A25" s="11"/>
      <c r="B25" s="25"/>
      <c r="C25" s="16" t="s">
        <v>57</v>
      </c>
    </row>
    <row r="26" spans="1:3">
      <c r="A26" s="11"/>
      <c r="B26" s="25"/>
      <c r="C26" s="16" t="s">
        <v>58</v>
      </c>
    </row>
    <row r="27" spans="1:3">
      <c r="A27" s="11"/>
      <c r="B27" s="25"/>
      <c r="C27" s="16" t="s">
        <v>59</v>
      </c>
    </row>
    <row r="28" spans="1:3">
      <c r="A28" s="11"/>
      <c r="B28" s="25"/>
      <c r="C28" s="16" t="s">
        <v>60</v>
      </c>
    </row>
    <row r="29" spans="1:3">
      <c r="A29" s="11"/>
      <c r="B29" s="25"/>
      <c r="C29" s="16" t="s">
        <v>61</v>
      </c>
    </row>
    <row r="30" spans="1:3">
      <c r="A30" s="11"/>
      <c r="B30" s="25"/>
      <c r="C30" s="16" t="s">
        <v>62</v>
      </c>
    </row>
    <row r="31" spans="1:3" ht="15" thickBot="1">
      <c r="A31" s="11"/>
      <c r="B31" s="26"/>
      <c r="C31" s="18" t="s">
        <v>63</v>
      </c>
    </row>
    <row r="32" spans="1:3">
      <c r="A32" s="11"/>
      <c r="B32" s="27" t="s">
        <v>16</v>
      </c>
      <c r="C32" s="28"/>
    </row>
    <row r="33" spans="1:3">
      <c r="A33" s="11"/>
      <c r="B33" s="29"/>
      <c r="C33" s="15" t="s">
        <v>64</v>
      </c>
    </row>
    <row r="34" spans="1:3">
      <c r="A34" s="11"/>
      <c r="B34" s="29"/>
      <c r="C34" s="16" t="s">
        <v>65</v>
      </c>
    </row>
    <row r="35" spans="1:3">
      <c r="A35" s="11"/>
      <c r="B35" s="29"/>
      <c r="C35" s="16" t="s">
        <v>66</v>
      </c>
    </row>
    <row r="36" spans="1:3" ht="15" thickBot="1">
      <c r="A36" s="11"/>
      <c r="B36" s="30"/>
      <c r="C36" s="18" t="s">
        <v>67</v>
      </c>
    </row>
    <row r="37" spans="1:3">
      <c r="A37" s="11"/>
      <c r="B37" s="31" t="s">
        <v>68</v>
      </c>
      <c r="C37" s="32"/>
    </row>
    <row r="38" spans="1:3">
      <c r="A38" s="11"/>
      <c r="B38" s="33"/>
      <c r="C38" s="15" t="s">
        <v>69</v>
      </c>
    </row>
    <row r="39" spans="1:3">
      <c r="A39" s="11"/>
      <c r="B39" s="33"/>
      <c r="C39" s="16" t="s">
        <v>70</v>
      </c>
    </row>
    <row r="40" spans="1:3">
      <c r="A40" s="11"/>
      <c r="B40" s="33"/>
      <c r="C40" s="16" t="s">
        <v>71</v>
      </c>
    </row>
    <row r="41" spans="1:3">
      <c r="A41" s="11"/>
      <c r="B41" s="33"/>
      <c r="C41" s="16" t="s">
        <v>72</v>
      </c>
    </row>
    <row r="42" spans="1:3">
      <c r="A42" s="11"/>
      <c r="B42" s="33"/>
      <c r="C42" s="16" t="s">
        <v>73</v>
      </c>
    </row>
    <row r="43" spans="1:3" ht="15" thickBot="1">
      <c r="A43" s="11"/>
      <c r="B43" s="34"/>
      <c r="C43" s="18" t="s">
        <v>74</v>
      </c>
    </row>
    <row r="44" spans="1:3">
      <c r="A44" s="11"/>
      <c r="B44" s="35" t="s">
        <v>75</v>
      </c>
      <c r="C44" s="36"/>
    </row>
    <row r="45" spans="1:3">
      <c r="A45" s="11"/>
      <c r="B45" s="37"/>
      <c r="C45" s="15" t="s">
        <v>76</v>
      </c>
    </row>
    <row r="46" spans="1:3">
      <c r="A46" s="11"/>
      <c r="B46" s="37"/>
      <c r="C46" s="16" t="s">
        <v>77</v>
      </c>
    </row>
    <row r="47" spans="1:3">
      <c r="A47" s="11"/>
      <c r="B47" s="37"/>
      <c r="C47" s="16" t="s">
        <v>78</v>
      </c>
    </row>
    <row r="48" spans="1:3">
      <c r="A48" s="11"/>
      <c r="B48" s="37"/>
      <c r="C48" s="16" t="s">
        <v>79</v>
      </c>
    </row>
    <row r="49" spans="1:3">
      <c r="A49" s="11"/>
      <c r="B49" s="37"/>
      <c r="C49" s="16" t="s">
        <v>80</v>
      </c>
    </row>
    <row r="50" spans="1:3">
      <c r="A50" s="11"/>
      <c r="B50" s="37"/>
      <c r="C50" s="16" t="s">
        <v>81</v>
      </c>
    </row>
    <row r="51" spans="1:3" ht="15" thickBot="1">
      <c r="A51" s="11"/>
      <c r="B51" s="38"/>
      <c r="C51" s="18" t="s">
        <v>82</v>
      </c>
    </row>
    <row r="52" spans="1:3">
      <c r="A52" s="11"/>
      <c r="B52" s="39" t="s">
        <v>17</v>
      </c>
      <c r="C52" s="40"/>
    </row>
    <row r="53" spans="1:3">
      <c r="A53" s="11"/>
      <c r="B53" s="41"/>
      <c r="C53" s="15" t="s">
        <v>83</v>
      </c>
    </row>
    <row r="54" spans="1:3">
      <c r="A54" s="11"/>
      <c r="B54" s="41"/>
      <c r="C54" s="16" t="s">
        <v>84</v>
      </c>
    </row>
    <row r="55" spans="1:3">
      <c r="A55" s="11"/>
      <c r="B55" s="41"/>
      <c r="C55" s="16" t="s">
        <v>85</v>
      </c>
    </row>
    <row r="56" spans="1:3">
      <c r="A56" s="11"/>
      <c r="B56" s="41"/>
      <c r="C56" s="16" t="s">
        <v>86</v>
      </c>
    </row>
    <row r="57" spans="1:3">
      <c r="A57" s="11"/>
      <c r="B57" s="41"/>
      <c r="C57" s="16" t="s">
        <v>87</v>
      </c>
    </row>
    <row r="58" spans="1:3" ht="15" thickBot="1">
      <c r="A58" s="11"/>
      <c r="B58" s="42"/>
      <c r="C58" s="18" t="s">
        <v>88</v>
      </c>
    </row>
    <row r="59" spans="1:3">
      <c r="A59" s="11"/>
      <c r="B59" s="11"/>
      <c r="C59" s="11"/>
    </row>
  </sheetData>
  <mergeCells count="1">
    <mergeCell ref="B1:C1"/>
  </mergeCells>
  <pageMargins left="0.7" right="0.7" top="0.75" bottom="0.75" header="0.3" footer="0.3"/>
  <pageSetup scale="7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22"/>
  <sheetViews>
    <sheetView workbookViewId="0"/>
  </sheetViews>
  <sheetFormatPr defaultColWidth="28.7265625" defaultRowHeight="14.5"/>
  <sheetData>
    <row r="1" spans="1:9">
      <c r="A1" s="58"/>
      <c r="B1" s="59"/>
      <c r="C1" s="5"/>
      <c r="D1" s="5"/>
      <c r="E1" s="5"/>
      <c r="F1" s="5"/>
      <c r="G1" s="5"/>
      <c r="H1" s="5"/>
      <c r="I1" s="5"/>
    </row>
    <row r="2" spans="1:9">
      <c r="A2" s="58"/>
      <c r="B2" s="59"/>
      <c r="C2" s="5"/>
      <c r="D2" s="5"/>
      <c r="E2" s="5"/>
      <c r="F2" s="5"/>
      <c r="G2" s="5"/>
      <c r="H2" s="5"/>
      <c r="I2" s="5"/>
    </row>
    <row r="3" spans="1:9" ht="15" thickBot="1">
      <c r="A3" s="58"/>
      <c r="B3" s="59"/>
      <c r="C3" s="5"/>
      <c r="D3" s="5"/>
      <c r="E3" s="5"/>
      <c r="F3" s="5"/>
      <c r="G3" s="5"/>
      <c r="H3" s="5"/>
      <c r="I3" s="5"/>
    </row>
    <row r="4" spans="1:9" ht="18.5" thickBot="1">
      <c r="A4" s="60"/>
      <c r="B4" s="348" t="s">
        <v>91</v>
      </c>
      <c r="C4" s="349" t="s">
        <v>92</v>
      </c>
      <c r="D4" s="349" t="s">
        <v>93</v>
      </c>
      <c r="E4" s="349" t="s">
        <v>94</v>
      </c>
      <c r="F4" s="349" t="s">
        <v>95</v>
      </c>
      <c r="G4" s="349"/>
      <c r="H4" s="349"/>
      <c r="I4" s="350"/>
    </row>
    <row r="5" spans="1:9" ht="26.5" thickBot="1">
      <c r="A5" s="53"/>
      <c r="B5" s="61" t="s">
        <v>96</v>
      </c>
      <c r="C5" s="62" t="s">
        <v>97</v>
      </c>
      <c r="D5" s="62" t="s">
        <v>98</v>
      </c>
      <c r="E5" s="62" t="s">
        <v>99</v>
      </c>
      <c r="F5" s="62" t="s">
        <v>100</v>
      </c>
      <c r="G5" s="62" t="s">
        <v>101</v>
      </c>
      <c r="H5" s="62" t="s">
        <v>102</v>
      </c>
      <c r="I5" s="63" t="s">
        <v>103</v>
      </c>
    </row>
    <row r="6" spans="1:9" ht="78">
      <c r="A6" s="351" t="s">
        <v>104</v>
      </c>
      <c r="B6" s="64" t="s">
        <v>105</v>
      </c>
      <c r="C6" s="64" t="s">
        <v>106</v>
      </c>
      <c r="D6" s="64" t="s">
        <v>107</v>
      </c>
      <c r="E6" s="64" t="s">
        <v>108</v>
      </c>
      <c r="F6" s="64" t="s">
        <v>109</v>
      </c>
      <c r="G6" s="65" t="s">
        <v>110</v>
      </c>
      <c r="H6" s="66" t="str">
        <f>IF(G6="H","Yes",IF(G6="M","Yes","No"))</f>
        <v>No</v>
      </c>
      <c r="I6" s="67"/>
    </row>
    <row r="7" spans="1:9" ht="91">
      <c r="A7" s="352"/>
      <c r="B7" s="64" t="s">
        <v>111</v>
      </c>
      <c r="C7" s="64" t="s">
        <v>112</v>
      </c>
      <c r="D7" s="64" t="s">
        <v>113</v>
      </c>
      <c r="E7" s="64" t="s">
        <v>114</v>
      </c>
      <c r="F7" s="64" t="s">
        <v>115</v>
      </c>
      <c r="G7" s="65" t="s">
        <v>110</v>
      </c>
      <c r="H7" s="66" t="str">
        <f t="shared" ref="H7:H22" si="0">IF(G7="H","Yes",IF(G7="M","Yes","No"))</f>
        <v>No</v>
      </c>
      <c r="I7" s="67"/>
    </row>
    <row r="8" spans="1:9" ht="78">
      <c r="A8" s="352"/>
      <c r="B8" s="64" t="s">
        <v>116</v>
      </c>
      <c r="C8" s="64" t="s">
        <v>117</v>
      </c>
      <c r="D8" s="64" t="s">
        <v>118</v>
      </c>
      <c r="E8" s="64" t="s">
        <v>119</v>
      </c>
      <c r="F8" s="64" t="s">
        <v>120</v>
      </c>
      <c r="G8" s="65" t="s">
        <v>110</v>
      </c>
      <c r="H8" s="66" t="str">
        <f t="shared" si="0"/>
        <v>No</v>
      </c>
      <c r="I8" s="67"/>
    </row>
    <row r="9" spans="1:9" ht="65.5" thickBot="1">
      <c r="A9" s="353"/>
      <c r="B9" s="64" t="s">
        <v>121</v>
      </c>
      <c r="C9" s="64" t="s">
        <v>122</v>
      </c>
      <c r="D9" s="64" t="s">
        <v>123</v>
      </c>
      <c r="E9" s="64" t="s">
        <v>124</v>
      </c>
      <c r="F9" s="64" t="s">
        <v>125</v>
      </c>
      <c r="G9" s="65" t="s">
        <v>110</v>
      </c>
      <c r="H9" s="66" t="str">
        <f t="shared" si="0"/>
        <v>No</v>
      </c>
      <c r="I9" s="67"/>
    </row>
    <row r="10" spans="1:9" ht="65">
      <c r="A10" s="354" t="s">
        <v>126</v>
      </c>
      <c r="B10" s="64" t="s">
        <v>127</v>
      </c>
      <c r="C10" s="64" t="s">
        <v>128</v>
      </c>
      <c r="D10" s="64" t="s">
        <v>129</v>
      </c>
      <c r="E10" s="64" t="s">
        <v>130</v>
      </c>
      <c r="F10" s="64" t="s">
        <v>131</v>
      </c>
      <c r="G10" s="65" t="s">
        <v>110</v>
      </c>
      <c r="H10" s="66" t="str">
        <f t="shared" si="0"/>
        <v>No</v>
      </c>
      <c r="I10" s="67"/>
    </row>
    <row r="11" spans="1:9" ht="65">
      <c r="A11" s="354"/>
      <c r="B11" s="64" t="s">
        <v>132</v>
      </c>
      <c r="C11" s="64" t="s">
        <v>133</v>
      </c>
      <c r="D11" s="64" t="s">
        <v>134</v>
      </c>
      <c r="E11" s="64" t="s">
        <v>135</v>
      </c>
      <c r="F11" s="64" t="s">
        <v>136</v>
      </c>
      <c r="G11" s="65" t="s">
        <v>110</v>
      </c>
      <c r="H11" s="66" t="str">
        <f t="shared" si="0"/>
        <v>No</v>
      </c>
      <c r="I11" s="67"/>
    </row>
    <row r="12" spans="1:9" ht="26">
      <c r="A12" s="354"/>
      <c r="B12" s="64" t="s">
        <v>137</v>
      </c>
      <c r="C12" s="64" t="s">
        <v>138</v>
      </c>
      <c r="D12" s="64" t="s">
        <v>139</v>
      </c>
      <c r="E12" s="64" t="s">
        <v>140</v>
      </c>
      <c r="F12" s="64" t="s">
        <v>141</v>
      </c>
      <c r="G12" s="65" t="s">
        <v>110</v>
      </c>
      <c r="H12" s="66" t="str">
        <f t="shared" si="0"/>
        <v>No</v>
      </c>
      <c r="I12" s="67"/>
    </row>
    <row r="13" spans="1:9" ht="78">
      <c r="A13" s="354"/>
      <c r="B13" s="64" t="s">
        <v>142</v>
      </c>
      <c r="C13" s="64" t="s">
        <v>143</v>
      </c>
      <c r="D13" s="64" t="s">
        <v>144</v>
      </c>
      <c r="E13" s="64" t="s">
        <v>145</v>
      </c>
      <c r="F13" s="64" t="s">
        <v>146</v>
      </c>
      <c r="G13" s="65" t="s">
        <v>110</v>
      </c>
      <c r="H13" s="66" t="str">
        <f t="shared" si="0"/>
        <v>No</v>
      </c>
      <c r="I13" s="67"/>
    </row>
    <row r="14" spans="1:9" ht="65.5" thickBot="1">
      <c r="A14" s="354"/>
      <c r="B14" s="64" t="s">
        <v>147</v>
      </c>
      <c r="C14" s="64" t="s">
        <v>148</v>
      </c>
      <c r="D14" s="64" t="s">
        <v>149</v>
      </c>
      <c r="E14" s="64" t="s">
        <v>150</v>
      </c>
      <c r="F14" s="64" t="s">
        <v>151</v>
      </c>
      <c r="G14" s="65" t="s">
        <v>110</v>
      </c>
      <c r="H14" s="66" t="str">
        <f t="shared" si="0"/>
        <v>No</v>
      </c>
      <c r="I14" s="67"/>
    </row>
    <row r="15" spans="1:9" ht="52.5" thickBot="1">
      <c r="A15" s="68" t="s">
        <v>152</v>
      </c>
      <c r="B15" s="64" t="s">
        <v>153</v>
      </c>
      <c r="C15" s="64" t="s">
        <v>154</v>
      </c>
      <c r="D15" s="64" t="s">
        <v>155</v>
      </c>
      <c r="E15" s="64" t="s">
        <v>156</v>
      </c>
      <c r="F15" s="64" t="s">
        <v>157</v>
      </c>
      <c r="G15" s="65" t="s">
        <v>110</v>
      </c>
      <c r="H15" s="66" t="str">
        <f t="shared" si="0"/>
        <v>No</v>
      </c>
      <c r="I15" s="67"/>
    </row>
    <row r="16" spans="1:9" ht="104">
      <c r="A16" s="355" t="s">
        <v>158</v>
      </c>
      <c r="B16" s="64" t="s">
        <v>159</v>
      </c>
      <c r="C16" s="64" t="s">
        <v>160</v>
      </c>
      <c r="D16" s="64" t="s">
        <v>161</v>
      </c>
      <c r="E16" s="64" t="s">
        <v>162</v>
      </c>
      <c r="F16" s="64" t="s">
        <v>163</v>
      </c>
      <c r="G16" s="65" t="s">
        <v>110</v>
      </c>
      <c r="H16" s="66" t="str">
        <f t="shared" si="0"/>
        <v>No</v>
      </c>
      <c r="I16" s="67"/>
    </row>
    <row r="17" spans="1:9" ht="52.5" thickBot="1">
      <c r="A17" s="356"/>
      <c r="B17" s="64" t="s">
        <v>164</v>
      </c>
      <c r="C17" s="64" t="s">
        <v>165</v>
      </c>
      <c r="D17" s="64" t="s">
        <v>166</v>
      </c>
      <c r="E17" s="64" t="s">
        <v>167</v>
      </c>
      <c r="F17" s="64" t="s">
        <v>168</v>
      </c>
      <c r="G17" s="65" t="s">
        <v>110</v>
      </c>
      <c r="H17" s="66" t="str">
        <f t="shared" si="0"/>
        <v>No</v>
      </c>
      <c r="I17" s="67"/>
    </row>
    <row r="18" spans="1:9" ht="65">
      <c r="A18" s="357" t="s">
        <v>169</v>
      </c>
      <c r="B18" s="64" t="s">
        <v>170</v>
      </c>
      <c r="C18" s="64" t="s">
        <v>171</v>
      </c>
      <c r="D18" s="64" t="s">
        <v>172</v>
      </c>
      <c r="E18" s="64" t="s">
        <v>173</v>
      </c>
      <c r="F18" s="64" t="s">
        <v>174</v>
      </c>
      <c r="G18" s="65" t="s">
        <v>110</v>
      </c>
      <c r="H18" s="66" t="str">
        <f t="shared" si="0"/>
        <v>No</v>
      </c>
      <c r="I18" s="67"/>
    </row>
    <row r="19" spans="1:9" ht="52">
      <c r="A19" s="358"/>
      <c r="B19" s="64" t="s">
        <v>175</v>
      </c>
      <c r="C19" s="64" t="s">
        <v>176</v>
      </c>
      <c r="D19" s="64" t="s">
        <v>177</v>
      </c>
      <c r="E19" s="64" t="s">
        <v>178</v>
      </c>
      <c r="F19" s="64" t="s">
        <v>179</v>
      </c>
      <c r="G19" s="65" t="s">
        <v>110</v>
      </c>
      <c r="H19" s="66" t="str">
        <f t="shared" si="0"/>
        <v>No</v>
      </c>
      <c r="I19" s="67"/>
    </row>
    <row r="20" spans="1:9" ht="52.5" thickBot="1">
      <c r="A20" s="359"/>
      <c r="B20" s="64" t="s">
        <v>180</v>
      </c>
      <c r="C20" s="64" t="s">
        <v>181</v>
      </c>
      <c r="D20" s="64" t="s">
        <v>182</v>
      </c>
      <c r="E20" s="64" t="s">
        <v>183</v>
      </c>
      <c r="F20" s="64" t="s">
        <v>184</v>
      </c>
      <c r="G20" s="65" t="s">
        <v>110</v>
      </c>
      <c r="H20" s="66" t="str">
        <f t="shared" si="0"/>
        <v>No</v>
      </c>
      <c r="I20" s="67"/>
    </row>
    <row r="21" spans="1:9" ht="78">
      <c r="A21" s="346" t="s">
        <v>185</v>
      </c>
      <c r="B21" s="64" t="s">
        <v>186</v>
      </c>
      <c r="C21" s="64" t="s">
        <v>187</v>
      </c>
      <c r="D21" s="64" t="s">
        <v>188</v>
      </c>
      <c r="E21" s="64" t="s">
        <v>189</v>
      </c>
      <c r="F21" s="64" t="s">
        <v>190</v>
      </c>
      <c r="G21" s="65" t="s">
        <v>110</v>
      </c>
      <c r="H21" s="66" t="str">
        <f t="shared" si="0"/>
        <v>No</v>
      </c>
      <c r="I21" s="67"/>
    </row>
    <row r="22" spans="1:9" ht="39.5" thickBot="1">
      <c r="A22" s="347"/>
      <c r="B22" s="64" t="s">
        <v>191</v>
      </c>
      <c r="C22" s="64" t="s">
        <v>192</v>
      </c>
      <c r="D22" s="64" t="s">
        <v>193</v>
      </c>
      <c r="E22" s="64" t="s">
        <v>194</v>
      </c>
      <c r="F22" s="64" t="s">
        <v>195</v>
      </c>
      <c r="G22" s="65" t="s">
        <v>110</v>
      </c>
      <c r="H22" s="66" t="str">
        <f t="shared" si="0"/>
        <v>No</v>
      </c>
      <c r="I22" s="67"/>
    </row>
  </sheetData>
  <mergeCells count="6">
    <mergeCell ref="A21:A22"/>
    <mergeCell ref="B4:I4"/>
    <mergeCell ref="A6:A9"/>
    <mergeCell ref="A10:A14"/>
    <mergeCell ref="A16:A17"/>
    <mergeCell ref="A18:A20"/>
  </mergeCells>
  <conditionalFormatting sqref="B6:I22">
    <cfRule type="expression" dxfId="8" priority="1" stopIfTrue="1">
      <formula>$G6="H"</formula>
    </cfRule>
    <cfRule type="expression" dxfId="7" priority="2" stopIfTrue="1">
      <formula>$G6="M"</formula>
    </cfRule>
    <cfRule type="expression" dxfId="6" priority="3" stopIfTrue="1">
      <formula>$G6="L"</formula>
    </cfRule>
  </conditionalFormatting>
  <dataValidations count="1">
    <dataValidation type="list" allowBlank="1" showInputMessage="1" showErrorMessage="1" promptTitle="Valid Responses are:" prompt="Enter _x000a_L = Low_x000a_M = Medium_x000a_H = High_x000a_NA = Not Applicable " sqref="G6:G22" xr:uid="{00000000-0002-0000-0900-000000000000}">
      <formula1>"L,M,H,NA,h,m,l,na"</formula1>
    </dataValidation>
  </dataValidations>
  <pageMargins left="0.7" right="0.7" top="0.75" bottom="0.75" header="0.3" footer="0.3"/>
  <pageSetup scale="4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03"/>
  <sheetViews>
    <sheetView workbookViewId="0"/>
  </sheetViews>
  <sheetFormatPr defaultRowHeight="12.75" customHeight="1"/>
  <cols>
    <col min="1" max="1" width="5.7265625" customWidth="1"/>
    <col min="2" max="2" width="10.7265625" customWidth="1"/>
    <col min="3" max="3" width="35.7265625" customWidth="1"/>
    <col min="4" max="6" width="25.7265625" customWidth="1"/>
    <col min="7" max="8" width="10.7265625" customWidth="1"/>
    <col min="9" max="9" width="40.7265625" customWidth="1"/>
    <col min="10" max="10" width="2.7265625" customWidth="1"/>
    <col min="257" max="257" width="5.7265625" customWidth="1"/>
    <col min="258" max="258" width="10.7265625" customWidth="1"/>
    <col min="259" max="259" width="35.7265625" customWidth="1"/>
    <col min="260" max="262" width="25.7265625" customWidth="1"/>
    <col min="263" max="264" width="10.7265625" customWidth="1"/>
    <col min="265" max="265" width="40.7265625" customWidth="1"/>
    <col min="266" max="266" width="2.7265625" customWidth="1"/>
    <col min="513" max="513" width="5.7265625" customWidth="1"/>
    <col min="514" max="514" width="10.7265625" customWidth="1"/>
    <col min="515" max="515" width="35.7265625" customWidth="1"/>
    <col min="516" max="518" width="25.7265625" customWidth="1"/>
    <col min="519" max="520" width="10.7265625" customWidth="1"/>
    <col min="521" max="521" width="40.7265625" customWidth="1"/>
    <col min="522" max="522" width="2.7265625" customWidth="1"/>
    <col min="769" max="769" width="5.7265625" customWidth="1"/>
    <col min="770" max="770" width="10.7265625" customWidth="1"/>
    <col min="771" max="771" width="35.7265625" customWidth="1"/>
    <col min="772" max="774" width="25.7265625" customWidth="1"/>
    <col min="775" max="776" width="10.7265625" customWidth="1"/>
    <col min="777" max="777" width="40.7265625" customWidth="1"/>
    <col min="778" max="778" width="2.7265625" customWidth="1"/>
    <col min="1025" max="1025" width="5.7265625" customWidth="1"/>
    <col min="1026" max="1026" width="10.7265625" customWidth="1"/>
    <col min="1027" max="1027" width="35.7265625" customWidth="1"/>
    <col min="1028" max="1030" width="25.7265625" customWidth="1"/>
    <col min="1031" max="1032" width="10.7265625" customWidth="1"/>
    <col min="1033" max="1033" width="40.7265625" customWidth="1"/>
    <col min="1034" max="1034" width="2.7265625" customWidth="1"/>
    <col min="1281" max="1281" width="5.7265625" customWidth="1"/>
    <col min="1282" max="1282" width="10.7265625" customWidth="1"/>
    <col min="1283" max="1283" width="35.7265625" customWidth="1"/>
    <col min="1284" max="1286" width="25.7265625" customWidth="1"/>
    <col min="1287" max="1288" width="10.7265625" customWidth="1"/>
    <col min="1289" max="1289" width="40.7265625" customWidth="1"/>
    <col min="1290" max="1290" width="2.7265625" customWidth="1"/>
    <col min="1537" max="1537" width="5.7265625" customWidth="1"/>
    <col min="1538" max="1538" width="10.7265625" customWidth="1"/>
    <col min="1539" max="1539" width="35.7265625" customWidth="1"/>
    <col min="1540" max="1542" width="25.7265625" customWidth="1"/>
    <col min="1543" max="1544" width="10.7265625" customWidth="1"/>
    <col min="1545" max="1545" width="40.7265625" customWidth="1"/>
    <col min="1546" max="1546" width="2.7265625" customWidth="1"/>
    <col min="1793" max="1793" width="5.7265625" customWidth="1"/>
    <col min="1794" max="1794" width="10.7265625" customWidth="1"/>
    <col min="1795" max="1795" width="35.7265625" customWidth="1"/>
    <col min="1796" max="1798" width="25.7265625" customWidth="1"/>
    <col min="1799" max="1800" width="10.7265625" customWidth="1"/>
    <col min="1801" max="1801" width="40.7265625" customWidth="1"/>
    <col min="1802" max="1802" width="2.7265625" customWidth="1"/>
    <col min="2049" max="2049" width="5.7265625" customWidth="1"/>
    <col min="2050" max="2050" width="10.7265625" customWidth="1"/>
    <col min="2051" max="2051" width="35.7265625" customWidth="1"/>
    <col min="2052" max="2054" width="25.7265625" customWidth="1"/>
    <col min="2055" max="2056" width="10.7265625" customWidth="1"/>
    <col min="2057" max="2057" width="40.7265625" customWidth="1"/>
    <col min="2058" max="2058" width="2.7265625" customWidth="1"/>
    <col min="2305" max="2305" width="5.7265625" customWidth="1"/>
    <col min="2306" max="2306" width="10.7265625" customWidth="1"/>
    <col min="2307" max="2307" width="35.7265625" customWidth="1"/>
    <col min="2308" max="2310" width="25.7265625" customWidth="1"/>
    <col min="2311" max="2312" width="10.7265625" customWidth="1"/>
    <col min="2313" max="2313" width="40.7265625" customWidth="1"/>
    <col min="2314" max="2314" width="2.7265625" customWidth="1"/>
    <col min="2561" max="2561" width="5.7265625" customWidth="1"/>
    <col min="2562" max="2562" width="10.7265625" customWidth="1"/>
    <col min="2563" max="2563" width="35.7265625" customWidth="1"/>
    <col min="2564" max="2566" width="25.7265625" customWidth="1"/>
    <col min="2567" max="2568" width="10.7265625" customWidth="1"/>
    <col min="2569" max="2569" width="40.7265625" customWidth="1"/>
    <col min="2570" max="2570" width="2.7265625" customWidth="1"/>
    <col min="2817" max="2817" width="5.7265625" customWidth="1"/>
    <col min="2818" max="2818" width="10.7265625" customWidth="1"/>
    <col min="2819" max="2819" width="35.7265625" customWidth="1"/>
    <col min="2820" max="2822" width="25.7265625" customWidth="1"/>
    <col min="2823" max="2824" width="10.7265625" customWidth="1"/>
    <col min="2825" max="2825" width="40.7265625" customWidth="1"/>
    <col min="2826" max="2826" width="2.7265625" customWidth="1"/>
    <col min="3073" max="3073" width="5.7265625" customWidth="1"/>
    <col min="3074" max="3074" width="10.7265625" customWidth="1"/>
    <col min="3075" max="3075" width="35.7265625" customWidth="1"/>
    <col min="3076" max="3078" width="25.7265625" customWidth="1"/>
    <col min="3079" max="3080" width="10.7265625" customWidth="1"/>
    <col min="3081" max="3081" width="40.7265625" customWidth="1"/>
    <col min="3082" max="3082" width="2.7265625" customWidth="1"/>
    <col min="3329" max="3329" width="5.7265625" customWidth="1"/>
    <col min="3330" max="3330" width="10.7265625" customWidth="1"/>
    <col min="3331" max="3331" width="35.7265625" customWidth="1"/>
    <col min="3332" max="3334" width="25.7265625" customWidth="1"/>
    <col min="3335" max="3336" width="10.7265625" customWidth="1"/>
    <col min="3337" max="3337" width="40.7265625" customWidth="1"/>
    <col min="3338" max="3338" width="2.7265625" customWidth="1"/>
    <col min="3585" max="3585" width="5.7265625" customWidth="1"/>
    <col min="3586" max="3586" width="10.7265625" customWidth="1"/>
    <col min="3587" max="3587" width="35.7265625" customWidth="1"/>
    <col min="3588" max="3590" width="25.7265625" customWidth="1"/>
    <col min="3591" max="3592" width="10.7265625" customWidth="1"/>
    <col min="3593" max="3593" width="40.7265625" customWidth="1"/>
    <col min="3594" max="3594" width="2.7265625" customWidth="1"/>
    <col min="3841" max="3841" width="5.7265625" customWidth="1"/>
    <col min="3842" max="3842" width="10.7265625" customWidth="1"/>
    <col min="3843" max="3843" width="35.7265625" customWidth="1"/>
    <col min="3844" max="3846" width="25.7265625" customWidth="1"/>
    <col min="3847" max="3848" width="10.7265625" customWidth="1"/>
    <col min="3849" max="3849" width="40.7265625" customWidth="1"/>
    <col min="3850" max="3850" width="2.7265625" customWidth="1"/>
    <col min="4097" max="4097" width="5.7265625" customWidth="1"/>
    <col min="4098" max="4098" width="10.7265625" customWidth="1"/>
    <col min="4099" max="4099" width="35.7265625" customWidth="1"/>
    <col min="4100" max="4102" width="25.7265625" customWidth="1"/>
    <col min="4103" max="4104" width="10.7265625" customWidth="1"/>
    <col min="4105" max="4105" width="40.7265625" customWidth="1"/>
    <col min="4106" max="4106" width="2.7265625" customWidth="1"/>
    <col min="4353" max="4353" width="5.7265625" customWidth="1"/>
    <col min="4354" max="4354" width="10.7265625" customWidth="1"/>
    <col min="4355" max="4355" width="35.7265625" customWidth="1"/>
    <col min="4356" max="4358" width="25.7265625" customWidth="1"/>
    <col min="4359" max="4360" width="10.7265625" customWidth="1"/>
    <col min="4361" max="4361" width="40.7265625" customWidth="1"/>
    <col min="4362" max="4362" width="2.7265625" customWidth="1"/>
    <col min="4609" max="4609" width="5.7265625" customWidth="1"/>
    <col min="4610" max="4610" width="10.7265625" customWidth="1"/>
    <col min="4611" max="4611" width="35.7265625" customWidth="1"/>
    <col min="4612" max="4614" width="25.7265625" customWidth="1"/>
    <col min="4615" max="4616" width="10.7265625" customWidth="1"/>
    <col min="4617" max="4617" width="40.7265625" customWidth="1"/>
    <col min="4618" max="4618" width="2.7265625" customWidth="1"/>
    <col min="4865" max="4865" width="5.7265625" customWidth="1"/>
    <col min="4866" max="4866" width="10.7265625" customWidth="1"/>
    <col min="4867" max="4867" width="35.7265625" customWidth="1"/>
    <col min="4868" max="4870" width="25.7265625" customWidth="1"/>
    <col min="4871" max="4872" width="10.7265625" customWidth="1"/>
    <col min="4873" max="4873" width="40.7265625" customWidth="1"/>
    <col min="4874" max="4874" width="2.7265625" customWidth="1"/>
    <col min="5121" max="5121" width="5.7265625" customWidth="1"/>
    <col min="5122" max="5122" width="10.7265625" customWidth="1"/>
    <col min="5123" max="5123" width="35.7265625" customWidth="1"/>
    <col min="5124" max="5126" width="25.7265625" customWidth="1"/>
    <col min="5127" max="5128" width="10.7265625" customWidth="1"/>
    <col min="5129" max="5129" width="40.7265625" customWidth="1"/>
    <col min="5130" max="5130" width="2.7265625" customWidth="1"/>
    <col min="5377" max="5377" width="5.7265625" customWidth="1"/>
    <col min="5378" max="5378" width="10.7265625" customWidth="1"/>
    <col min="5379" max="5379" width="35.7265625" customWidth="1"/>
    <col min="5380" max="5382" width="25.7265625" customWidth="1"/>
    <col min="5383" max="5384" width="10.7265625" customWidth="1"/>
    <col min="5385" max="5385" width="40.7265625" customWidth="1"/>
    <col min="5386" max="5386" width="2.7265625" customWidth="1"/>
    <col min="5633" max="5633" width="5.7265625" customWidth="1"/>
    <col min="5634" max="5634" width="10.7265625" customWidth="1"/>
    <col min="5635" max="5635" width="35.7265625" customWidth="1"/>
    <col min="5636" max="5638" width="25.7265625" customWidth="1"/>
    <col min="5639" max="5640" width="10.7265625" customWidth="1"/>
    <col min="5641" max="5641" width="40.7265625" customWidth="1"/>
    <col min="5642" max="5642" width="2.7265625" customWidth="1"/>
    <col min="5889" max="5889" width="5.7265625" customWidth="1"/>
    <col min="5890" max="5890" width="10.7265625" customWidth="1"/>
    <col min="5891" max="5891" width="35.7265625" customWidth="1"/>
    <col min="5892" max="5894" width="25.7265625" customWidth="1"/>
    <col min="5895" max="5896" width="10.7265625" customWidth="1"/>
    <col min="5897" max="5897" width="40.7265625" customWidth="1"/>
    <col min="5898" max="5898" width="2.7265625" customWidth="1"/>
    <col min="6145" max="6145" width="5.7265625" customWidth="1"/>
    <col min="6146" max="6146" width="10.7265625" customWidth="1"/>
    <col min="6147" max="6147" width="35.7265625" customWidth="1"/>
    <col min="6148" max="6150" width="25.7265625" customWidth="1"/>
    <col min="6151" max="6152" width="10.7265625" customWidth="1"/>
    <col min="6153" max="6153" width="40.7265625" customWidth="1"/>
    <col min="6154" max="6154" width="2.7265625" customWidth="1"/>
    <col min="6401" max="6401" width="5.7265625" customWidth="1"/>
    <col min="6402" max="6402" width="10.7265625" customWidth="1"/>
    <col min="6403" max="6403" width="35.7265625" customWidth="1"/>
    <col min="6404" max="6406" width="25.7265625" customWidth="1"/>
    <col min="6407" max="6408" width="10.7265625" customWidth="1"/>
    <col min="6409" max="6409" width="40.7265625" customWidth="1"/>
    <col min="6410" max="6410" width="2.7265625" customWidth="1"/>
    <col min="6657" max="6657" width="5.7265625" customWidth="1"/>
    <col min="6658" max="6658" width="10.7265625" customWidth="1"/>
    <col min="6659" max="6659" width="35.7265625" customWidth="1"/>
    <col min="6660" max="6662" width="25.7265625" customWidth="1"/>
    <col min="6663" max="6664" width="10.7265625" customWidth="1"/>
    <col min="6665" max="6665" width="40.7265625" customWidth="1"/>
    <col min="6666" max="6666" width="2.7265625" customWidth="1"/>
    <col min="6913" max="6913" width="5.7265625" customWidth="1"/>
    <col min="6914" max="6914" width="10.7265625" customWidth="1"/>
    <col min="6915" max="6915" width="35.7265625" customWidth="1"/>
    <col min="6916" max="6918" width="25.7265625" customWidth="1"/>
    <col min="6919" max="6920" width="10.7265625" customWidth="1"/>
    <col min="6921" max="6921" width="40.7265625" customWidth="1"/>
    <col min="6922" max="6922" width="2.7265625" customWidth="1"/>
    <col min="7169" max="7169" width="5.7265625" customWidth="1"/>
    <col min="7170" max="7170" width="10.7265625" customWidth="1"/>
    <col min="7171" max="7171" width="35.7265625" customWidth="1"/>
    <col min="7172" max="7174" width="25.7265625" customWidth="1"/>
    <col min="7175" max="7176" width="10.7265625" customWidth="1"/>
    <col min="7177" max="7177" width="40.7265625" customWidth="1"/>
    <col min="7178" max="7178" width="2.7265625" customWidth="1"/>
    <col min="7425" max="7425" width="5.7265625" customWidth="1"/>
    <col min="7426" max="7426" width="10.7265625" customWidth="1"/>
    <col min="7427" max="7427" width="35.7265625" customWidth="1"/>
    <col min="7428" max="7430" width="25.7265625" customWidth="1"/>
    <col min="7431" max="7432" width="10.7265625" customWidth="1"/>
    <col min="7433" max="7433" width="40.7265625" customWidth="1"/>
    <col min="7434" max="7434" width="2.7265625" customWidth="1"/>
    <col min="7681" max="7681" width="5.7265625" customWidth="1"/>
    <col min="7682" max="7682" width="10.7265625" customWidth="1"/>
    <col min="7683" max="7683" width="35.7265625" customWidth="1"/>
    <col min="7684" max="7686" width="25.7265625" customWidth="1"/>
    <col min="7687" max="7688" width="10.7265625" customWidth="1"/>
    <col min="7689" max="7689" width="40.7265625" customWidth="1"/>
    <col min="7690" max="7690" width="2.7265625" customWidth="1"/>
    <col min="7937" max="7937" width="5.7265625" customWidth="1"/>
    <col min="7938" max="7938" width="10.7265625" customWidth="1"/>
    <col min="7939" max="7939" width="35.7265625" customWidth="1"/>
    <col min="7940" max="7942" width="25.7265625" customWidth="1"/>
    <col min="7943" max="7944" width="10.7265625" customWidth="1"/>
    <col min="7945" max="7945" width="40.7265625" customWidth="1"/>
    <col min="7946" max="7946" width="2.7265625" customWidth="1"/>
    <col min="8193" max="8193" width="5.7265625" customWidth="1"/>
    <col min="8194" max="8194" width="10.7265625" customWidth="1"/>
    <col min="8195" max="8195" width="35.7265625" customWidth="1"/>
    <col min="8196" max="8198" width="25.7265625" customWidth="1"/>
    <col min="8199" max="8200" width="10.7265625" customWidth="1"/>
    <col min="8201" max="8201" width="40.7265625" customWidth="1"/>
    <col min="8202" max="8202" width="2.7265625" customWidth="1"/>
    <col min="8449" max="8449" width="5.7265625" customWidth="1"/>
    <col min="8450" max="8450" width="10.7265625" customWidth="1"/>
    <col min="8451" max="8451" width="35.7265625" customWidth="1"/>
    <col min="8452" max="8454" width="25.7265625" customWidth="1"/>
    <col min="8455" max="8456" width="10.7265625" customWidth="1"/>
    <col min="8457" max="8457" width="40.7265625" customWidth="1"/>
    <col min="8458" max="8458" width="2.7265625" customWidth="1"/>
    <col min="8705" max="8705" width="5.7265625" customWidth="1"/>
    <col min="8706" max="8706" width="10.7265625" customWidth="1"/>
    <col min="8707" max="8707" width="35.7265625" customWidth="1"/>
    <col min="8708" max="8710" width="25.7265625" customWidth="1"/>
    <col min="8711" max="8712" width="10.7265625" customWidth="1"/>
    <col min="8713" max="8713" width="40.7265625" customWidth="1"/>
    <col min="8714" max="8714" width="2.7265625" customWidth="1"/>
    <col min="8961" max="8961" width="5.7265625" customWidth="1"/>
    <col min="8962" max="8962" width="10.7265625" customWidth="1"/>
    <col min="8963" max="8963" width="35.7265625" customWidth="1"/>
    <col min="8964" max="8966" width="25.7265625" customWidth="1"/>
    <col min="8967" max="8968" width="10.7265625" customWidth="1"/>
    <col min="8969" max="8969" width="40.7265625" customWidth="1"/>
    <col min="8970" max="8970" width="2.7265625" customWidth="1"/>
    <col min="9217" max="9217" width="5.7265625" customWidth="1"/>
    <col min="9218" max="9218" width="10.7265625" customWidth="1"/>
    <col min="9219" max="9219" width="35.7265625" customWidth="1"/>
    <col min="9220" max="9222" width="25.7265625" customWidth="1"/>
    <col min="9223" max="9224" width="10.7265625" customWidth="1"/>
    <col min="9225" max="9225" width="40.7265625" customWidth="1"/>
    <col min="9226" max="9226" width="2.7265625" customWidth="1"/>
    <col min="9473" max="9473" width="5.7265625" customWidth="1"/>
    <col min="9474" max="9474" width="10.7265625" customWidth="1"/>
    <col min="9475" max="9475" width="35.7265625" customWidth="1"/>
    <col min="9476" max="9478" width="25.7265625" customWidth="1"/>
    <col min="9479" max="9480" width="10.7265625" customWidth="1"/>
    <col min="9481" max="9481" width="40.7265625" customWidth="1"/>
    <col min="9482" max="9482" width="2.7265625" customWidth="1"/>
    <col min="9729" max="9729" width="5.7265625" customWidth="1"/>
    <col min="9730" max="9730" width="10.7265625" customWidth="1"/>
    <col min="9731" max="9731" width="35.7265625" customWidth="1"/>
    <col min="9732" max="9734" width="25.7265625" customWidth="1"/>
    <col min="9735" max="9736" width="10.7265625" customWidth="1"/>
    <col min="9737" max="9737" width="40.7265625" customWidth="1"/>
    <col min="9738" max="9738" width="2.7265625" customWidth="1"/>
    <col min="9985" max="9985" width="5.7265625" customWidth="1"/>
    <col min="9986" max="9986" width="10.7265625" customWidth="1"/>
    <col min="9987" max="9987" width="35.7265625" customWidth="1"/>
    <col min="9988" max="9990" width="25.7265625" customWidth="1"/>
    <col min="9991" max="9992" width="10.7265625" customWidth="1"/>
    <col min="9993" max="9993" width="40.7265625" customWidth="1"/>
    <col min="9994" max="9994" width="2.7265625" customWidth="1"/>
    <col min="10241" max="10241" width="5.7265625" customWidth="1"/>
    <col min="10242" max="10242" width="10.7265625" customWidth="1"/>
    <col min="10243" max="10243" width="35.7265625" customWidth="1"/>
    <col min="10244" max="10246" width="25.7265625" customWidth="1"/>
    <col min="10247" max="10248" width="10.7265625" customWidth="1"/>
    <col min="10249" max="10249" width="40.7265625" customWidth="1"/>
    <col min="10250" max="10250" width="2.7265625" customWidth="1"/>
    <col min="10497" max="10497" width="5.7265625" customWidth="1"/>
    <col min="10498" max="10498" width="10.7265625" customWidth="1"/>
    <col min="10499" max="10499" width="35.7265625" customWidth="1"/>
    <col min="10500" max="10502" width="25.7265625" customWidth="1"/>
    <col min="10503" max="10504" width="10.7265625" customWidth="1"/>
    <col min="10505" max="10505" width="40.7265625" customWidth="1"/>
    <col min="10506" max="10506" width="2.7265625" customWidth="1"/>
    <col min="10753" max="10753" width="5.7265625" customWidth="1"/>
    <col min="10754" max="10754" width="10.7265625" customWidth="1"/>
    <col min="10755" max="10755" width="35.7265625" customWidth="1"/>
    <col min="10756" max="10758" width="25.7265625" customWidth="1"/>
    <col min="10759" max="10760" width="10.7265625" customWidth="1"/>
    <col min="10761" max="10761" width="40.7265625" customWidth="1"/>
    <col min="10762" max="10762" width="2.7265625" customWidth="1"/>
    <col min="11009" max="11009" width="5.7265625" customWidth="1"/>
    <col min="11010" max="11010" width="10.7265625" customWidth="1"/>
    <col min="11011" max="11011" width="35.7265625" customWidth="1"/>
    <col min="11012" max="11014" width="25.7265625" customWidth="1"/>
    <col min="11015" max="11016" width="10.7265625" customWidth="1"/>
    <col min="11017" max="11017" width="40.7265625" customWidth="1"/>
    <col min="11018" max="11018" width="2.7265625" customWidth="1"/>
    <col min="11265" max="11265" width="5.7265625" customWidth="1"/>
    <col min="11266" max="11266" width="10.7265625" customWidth="1"/>
    <col min="11267" max="11267" width="35.7265625" customWidth="1"/>
    <col min="11268" max="11270" width="25.7265625" customWidth="1"/>
    <col min="11271" max="11272" width="10.7265625" customWidth="1"/>
    <col min="11273" max="11273" width="40.7265625" customWidth="1"/>
    <col min="11274" max="11274" width="2.7265625" customWidth="1"/>
    <col min="11521" max="11521" width="5.7265625" customWidth="1"/>
    <col min="11522" max="11522" width="10.7265625" customWidth="1"/>
    <col min="11523" max="11523" width="35.7265625" customWidth="1"/>
    <col min="11524" max="11526" width="25.7265625" customWidth="1"/>
    <col min="11527" max="11528" width="10.7265625" customWidth="1"/>
    <col min="11529" max="11529" width="40.7265625" customWidth="1"/>
    <col min="11530" max="11530" width="2.7265625" customWidth="1"/>
    <col min="11777" max="11777" width="5.7265625" customWidth="1"/>
    <col min="11778" max="11778" width="10.7265625" customWidth="1"/>
    <col min="11779" max="11779" width="35.7265625" customWidth="1"/>
    <col min="11780" max="11782" width="25.7265625" customWidth="1"/>
    <col min="11783" max="11784" width="10.7265625" customWidth="1"/>
    <col min="11785" max="11785" width="40.7265625" customWidth="1"/>
    <col min="11786" max="11786" width="2.7265625" customWidth="1"/>
    <col min="12033" max="12033" width="5.7265625" customWidth="1"/>
    <col min="12034" max="12034" width="10.7265625" customWidth="1"/>
    <col min="12035" max="12035" width="35.7265625" customWidth="1"/>
    <col min="12036" max="12038" width="25.7265625" customWidth="1"/>
    <col min="12039" max="12040" width="10.7265625" customWidth="1"/>
    <col min="12041" max="12041" width="40.7265625" customWidth="1"/>
    <col min="12042" max="12042" width="2.7265625" customWidth="1"/>
    <col min="12289" max="12289" width="5.7265625" customWidth="1"/>
    <col min="12290" max="12290" width="10.7265625" customWidth="1"/>
    <col min="12291" max="12291" width="35.7265625" customWidth="1"/>
    <col min="12292" max="12294" width="25.7265625" customWidth="1"/>
    <col min="12295" max="12296" width="10.7265625" customWidth="1"/>
    <col min="12297" max="12297" width="40.7265625" customWidth="1"/>
    <col min="12298" max="12298" width="2.7265625" customWidth="1"/>
    <col min="12545" max="12545" width="5.7265625" customWidth="1"/>
    <col min="12546" max="12546" width="10.7265625" customWidth="1"/>
    <col min="12547" max="12547" width="35.7265625" customWidth="1"/>
    <col min="12548" max="12550" width="25.7265625" customWidth="1"/>
    <col min="12551" max="12552" width="10.7265625" customWidth="1"/>
    <col min="12553" max="12553" width="40.7265625" customWidth="1"/>
    <col min="12554" max="12554" width="2.7265625" customWidth="1"/>
    <col min="12801" max="12801" width="5.7265625" customWidth="1"/>
    <col min="12802" max="12802" width="10.7265625" customWidth="1"/>
    <col min="12803" max="12803" width="35.7265625" customWidth="1"/>
    <col min="12804" max="12806" width="25.7265625" customWidth="1"/>
    <col min="12807" max="12808" width="10.7265625" customWidth="1"/>
    <col min="12809" max="12809" width="40.7265625" customWidth="1"/>
    <col min="12810" max="12810" width="2.7265625" customWidth="1"/>
    <col min="13057" max="13057" width="5.7265625" customWidth="1"/>
    <col min="13058" max="13058" width="10.7265625" customWidth="1"/>
    <col min="13059" max="13059" width="35.7265625" customWidth="1"/>
    <col min="13060" max="13062" width="25.7265625" customWidth="1"/>
    <col min="13063" max="13064" width="10.7265625" customWidth="1"/>
    <col min="13065" max="13065" width="40.7265625" customWidth="1"/>
    <col min="13066" max="13066" width="2.7265625" customWidth="1"/>
    <col min="13313" max="13313" width="5.7265625" customWidth="1"/>
    <col min="13314" max="13314" width="10.7265625" customWidth="1"/>
    <col min="13315" max="13315" width="35.7265625" customWidth="1"/>
    <col min="13316" max="13318" width="25.7265625" customWidth="1"/>
    <col min="13319" max="13320" width="10.7265625" customWidth="1"/>
    <col min="13321" max="13321" width="40.7265625" customWidth="1"/>
    <col min="13322" max="13322" width="2.7265625" customWidth="1"/>
    <col min="13569" max="13569" width="5.7265625" customWidth="1"/>
    <col min="13570" max="13570" width="10.7265625" customWidth="1"/>
    <col min="13571" max="13571" width="35.7265625" customWidth="1"/>
    <col min="13572" max="13574" width="25.7265625" customWidth="1"/>
    <col min="13575" max="13576" width="10.7265625" customWidth="1"/>
    <col min="13577" max="13577" width="40.7265625" customWidth="1"/>
    <col min="13578" max="13578" width="2.7265625" customWidth="1"/>
    <col min="13825" max="13825" width="5.7265625" customWidth="1"/>
    <col min="13826" max="13826" width="10.7265625" customWidth="1"/>
    <col min="13827" max="13827" width="35.7265625" customWidth="1"/>
    <col min="13828" max="13830" width="25.7265625" customWidth="1"/>
    <col min="13831" max="13832" width="10.7265625" customWidth="1"/>
    <col min="13833" max="13833" width="40.7265625" customWidth="1"/>
    <col min="13834" max="13834" width="2.7265625" customWidth="1"/>
    <col min="14081" max="14081" width="5.7265625" customWidth="1"/>
    <col min="14082" max="14082" width="10.7265625" customWidth="1"/>
    <col min="14083" max="14083" width="35.7265625" customWidth="1"/>
    <col min="14084" max="14086" width="25.7265625" customWidth="1"/>
    <col min="14087" max="14088" width="10.7265625" customWidth="1"/>
    <col min="14089" max="14089" width="40.7265625" customWidth="1"/>
    <col min="14090" max="14090" width="2.7265625" customWidth="1"/>
    <col min="14337" max="14337" width="5.7265625" customWidth="1"/>
    <col min="14338" max="14338" width="10.7265625" customWidth="1"/>
    <col min="14339" max="14339" width="35.7265625" customWidth="1"/>
    <col min="14340" max="14342" width="25.7265625" customWidth="1"/>
    <col min="14343" max="14344" width="10.7265625" customWidth="1"/>
    <col min="14345" max="14345" width="40.7265625" customWidth="1"/>
    <col min="14346" max="14346" width="2.7265625" customWidth="1"/>
    <col min="14593" max="14593" width="5.7265625" customWidth="1"/>
    <col min="14594" max="14594" width="10.7265625" customWidth="1"/>
    <col min="14595" max="14595" width="35.7265625" customWidth="1"/>
    <col min="14596" max="14598" width="25.7265625" customWidth="1"/>
    <col min="14599" max="14600" width="10.7265625" customWidth="1"/>
    <col min="14601" max="14601" width="40.7265625" customWidth="1"/>
    <col min="14602" max="14602" width="2.7265625" customWidth="1"/>
    <col min="14849" max="14849" width="5.7265625" customWidth="1"/>
    <col min="14850" max="14850" width="10.7265625" customWidth="1"/>
    <col min="14851" max="14851" width="35.7265625" customWidth="1"/>
    <col min="14852" max="14854" width="25.7265625" customWidth="1"/>
    <col min="14855" max="14856" width="10.7265625" customWidth="1"/>
    <col min="14857" max="14857" width="40.7265625" customWidth="1"/>
    <col min="14858" max="14858" width="2.7265625" customWidth="1"/>
    <col min="15105" max="15105" width="5.7265625" customWidth="1"/>
    <col min="15106" max="15106" width="10.7265625" customWidth="1"/>
    <col min="15107" max="15107" width="35.7265625" customWidth="1"/>
    <col min="15108" max="15110" width="25.7265625" customWidth="1"/>
    <col min="15111" max="15112" width="10.7265625" customWidth="1"/>
    <col min="15113" max="15113" width="40.7265625" customWidth="1"/>
    <col min="15114" max="15114" width="2.7265625" customWidth="1"/>
    <col min="15361" max="15361" width="5.7265625" customWidth="1"/>
    <col min="15362" max="15362" width="10.7265625" customWidth="1"/>
    <col min="15363" max="15363" width="35.7265625" customWidth="1"/>
    <col min="15364" max="15366" width="25.7265625" customWidth="1"/>
    <col min="15367" max="15368" width="10.7265625" customWidth="1"/>
    <col min="15369" max="15369" width="40.7265625" customWidth="1"/>
    <col min="15370" max="15370" width="2.7265625" customWidth="1"/>
    <col min="15617" max="15617" width="5.7265625" customWidth="1"/>
    <col min="15618" max="15618" width="10.7265625" customWidth="1"/>
    <col min="15619" max="15619" width="35.7265625" customWidth="1"/>
    <col min="15620" max="15622" width="25.7265625" customWidth="1"/>
    <col min="15623" max="15624" width="10.7265625" customWidth="1"/>
    <col min="15625" max="15625" width="40.7265625" customWidth="1"/>
    <col min="15626" max="15626" width="2.7265625" customWidth="1"/>
    <col min="15873" max="15873" width="5.7265625" customWidth="1"/>
    <col min="15874" max="15874" width="10.7265625" customWidth="1"/>
    <col min="15875" max="15875" width="35.7265625" customWidth="1"/>
    <col min="15876" max="15878" width="25.7265625" customWidth="1"/>
    <col min="15879" max="15880" width="10.7265625" customWidth="1"/>
    <col min="15881" max="15881" width="40.7265625" customWidth="1"/>
    <col min="15882" max="15882" width="2.7265625" customWidth="1"/>
    <col min="16129" max="16129" width="5.7265625" customWidth="1"/>
    <col min="16130" max="16130" width="10.7265625" customWidth="1"/>
    <col min="16131" max="16131" width="35.7265625" customWidth="1"/>
    <col min="16132" max="16134" width="25.7265625" customWidth="1"/>
    <col min="16135" max="16136" width="10.7265625" customWidth="1"/>
    <col min="16137" max="16137" width="40.7265625" customWidth="1"/>
    <col min="16138" max="16138" width="2.7265625" customWidth="1"/>
  </cols>
  <sheetData>
    <row r="1" spans="1:12" ht="14.5">
      <c r="A1" s="58"/>
      <c r="B1" s="59"/>
      <c r="C1" s="69"/>
      <c r="D1" s="69"/>
      <c r="E1" s="69"/>
      <c r="F1" s="69"/>
      <c r="G1" s="5"/>
      <c r="H1" s="5"/>
      <c r="I1" s="5"/>
      <c r="J1" s="5"/>
      <c r="K1" s="5"/>
      <c r="L1" s="5"/>
    </row>
    <row r="2" spans="1:12" ht="14.5">
      <c r="A2" s="58"/>
      <c r="B2" s="59"/>
      <c r="C2" s="69"/>
      <c r="D2" s="69"/>
      <c r="E2" s="69"/>
      <c r="F2" s="69"/>
      <c r="G2" s="5"/>
      <c r="H2" s="5"/>
      <c r="I2" s="5"/>
      <c r="J2" s="5"/>
      <c r="K2" s="5"/>
      <c r="L2" s="5"/>
    </row>
    <row r="3" spans="1:12" ht="14.25" customHeight="1" thickBot="1">
      <c r="A3" s="58"/>
      <c r="B3" s="59"/>
      <c r="C3" s="69"/>
      <c r="D3" s="69"/>
      <c r="E3" s="69"/>
      <c r="F3" s="69"/>
      <c r="G3" s="5"/>
      <c r="H3" s="5"/>
      <c r="I3" s="5"/>
      <c r="J3" s="5"/>
      <c r="K3" s="5"/>
      <c r="L3" s="5"/>
    </row>
    <row r="4" spans="1:12" s="71" customFormat="1" ht="18.5" thickBot="1">
      <c r="A4" s="60"/>
      <c r="B4" s="362" t="s">
        <v>196</v>
      </c>
      <c r="C4" s="363" t="s">
        <v>92</v>
      </c>
      <c r="D4" s="363" t="s">
        <v>93</v>
      </c>
      <c r="E4" s="363" t="s">
        <v>94</v>
      </c>
      <c r="F4" s="363" t="s">
        <v>95</v>
      </c>
      <c r="G4" s="363"/>
      <c r="H4" s="363"/>
      <c r="I4" s="364"/>
      <c r="J4" s="70"/>
      <c r="K4" s="70"/>
      <c r="L4" s="70"/>
    </row>
    <row r="5" spans="1:12" s="76" customFormat="1" ht="47.25" customHeight="1" thickBot="1">
      <c r="A5" s="53"/>
      <c r="B5" s="72" t="s">
        <v>96</v>
      </c>
      <c r="C5" s="73" t="s">
        <v>197</v>
      </c>
      <c r="D5" s="73" t="s">
        <v>98</v>
      </c>
      <c r="E5" s="73" t="s">
        <v>99</v>
      </c>
      <c r="F5" s="73" t="s">
        <v>100</v>
      </c>
      <c r="G5" s="73" t="s">
        <v>101</v>
      </c>
      <c r="H5" s="73" t="s">
        <v>102</v>
      </c>
      <c r="I5" s="74" t="s">
        <v>103</v>
      </c>
      <c r="J5" s="75"/>
      <c r="K5" s="75"/>
      <c r="L5" s="75"/>
    </row>
    <row r="6" spans="1:12" ht="78" customHeight="1">
      <c r="A6" s="365" t="s">
        <v>198</v>
      </c>
      <c r="B6" s="64" t="s">
        <v>199</v>
      </c>
      <c r="C6" s="64" t="s">
        <v>200</v>
      </c>
      <c r="D6" s="64" t="s">
        <v>201</v>
      </c>
      <c r="E6" s="64" t="s">
        <v>202</v>
      </c>
      <c r="F6" s="64" t="s">
        <v>203</v>
      </c>
      <c r="G6" s="65" t="s">
        <v>110</v>
      </c>
      <c r="H6" s="66" t="str">
        <f>IF(G6="","",IF(G6="L","N",(IF(G6="NA","N","Yes"))))</f>
        <v>N</v>
      </c>
      <c r="I6" s="67"/>
      <c r="J6" s="5"/>
      <c r="K6" s="5"/>
      <c r="L6" s="5"/>
    </row>
    <row r="7" spans="1:12" ht="52">
      <c r="A7" s="366"/>
      <c r="B7" s="64" t="s">
        <v>204</v>
      </c>
      <c r="C7" s="64" t="s">
        <v>205</v>
      </c>
      <c r="D7" s="64" t="s">
        <v>206</v>
      </c>
      <c r="E7" s="64" t="s">
        <v>207</v>
      </c>
      <c r="F7" s="64" t="s">
        <v>208</v>
      </c>
      <c r="G7" s="65" t="s">
        <v>110</v>
      </c>
      <c r="H7" s="66" t="str">
        <f t="shared" ref="H7:H70" si="0">IF(G7="","",IF(G7="L","N",(IF(G7="NA","N","Yes"))))</f>
        <v>N</v>
      </c>
      <c r="I7" s="67"/>
      <c r="J7" s="5"/>
      <c r="K7" s="5"/>
      <c r="L7" s="5"/>
    </row>
    <row r="8" spans="1:12" ht="65.150000000000006" customHeight="1" thickBot="1">
      <c r="A8" s="366"/>
      <c r="B8" s="64" t="s">
        <v>209</v>
      </c>
      <c r="C8" s="64" t="s">
        <v>210</v>
      </c>
      <c r="D8" s="64" t="s">
        <v>211</v>
      </c>
      <c r="E8" s="64" t="s">
        <v>212</v>
      </c>
      <c r="F8" s="64" t="s">
        <v>213</v>
      </c>
      <c r="G8" s="65" t="s">
        <v>110</v>
      </c>
      <c r="H8" s="66" t="str">
        <f t="shared" si="0"/>
        <v>N</v>
      </c>
      <c r="I8" s="67"/>
      <c r="J8" s="5"/>
      <c r="K8" s="5"/>
      <c r="L8" s="5"/>
    </row>
    <row r="9" spans="1:12" ht="52">
      <c r="A9" s="367" t="s">
        <v>214</v>
      </c>
      <c r="B9" s="64" t="s">
        <v>215</v>
      </c>
      <c r="C9" s="64" t="s">
        <v>216</v>
      </c>
      <c r="D9" s="64" t="s">
        <v>217</v>
      </c>
      <c r="E9" s="64" t="s">
        <v>218</v>
      </c>
      <c r="F9" s="64" t="s">
        <v>219</v>
      </c>
      <c r="G9" s="65" t="s">
        <v>110</v>
      </c>
      <c r="H9" s="66" t="str">
        <f t="shared" si="0"/>
        <v>N</v>
      </c>
      <c r="I9" s="67"/>
      <c r="J9" s="5"/>
      <c r="K9" s="5"/>
      <c r="L9" s="5"/>
    </row>
    <row r="10" spans="1:12" ht="65">
      <c r="A10" s="368"/>
      <c r="B10" s="64" t="s">
        <v>220</v>
      </c>
      <c r="C10" s="64" t="s">
        <v>221</v>
      </c>
      <c r="D10" s="64" t="s">
        <v>222</v>
      </c>
      <c r="E10" s="64" t="s">
        <v>223</v>
      </c>
      <c r="F10" s="64" t="s">
        <v>224</v>
      </c>
      <c r="G10" s="65" t="s">
        <v>110</v>
      </c>
      <c r="H10" s="66" t="str">
        <f t="shared" si="0"/>
        <v>N</v>
      </c>
      <c r="I10" s="67"/>
      <c r="J10" s="5"/>
      <c r="K10" s="5"/>
      <c r="L10" s="5"/>
    </row>
    <row r="11" spans="1:12" ht="65.150000000000006" customHeight="1" thickBot="1">
      <c r="A11" s="369"/>
      <c r="B11" s="64" t="s">
        <v>225</v>
      </c>
      <c r="C11" s="64" t="s">
        <v>226</v>
      </c>
      <c r="D11" s="64" t="s">
        <v>227</v>
      </c>
      <c r="E11" s="64" t="s">
        <v>228</v>
      </c>
      <c r="F11" s="64" t="s">
        <v>229</v>
      </c>
      <c r="G11" s="65" t="s">
        <v>110</v>
      </c>
      <c r="H11" s="66" t="str">
        <f t="shared" si="0"/>
        <v>N</v>
      </c>
      <c r="I11" s="67"/>
      <c r="J11" s="5"/>
      <c r="K11" s="5"/>
      <c r="L11" s="5"/>
    </row>
    <row r="12" spans="1:12" ht="65.150000000000006" customHeight="1">
      <c r="A12" s="370" t="s">
        <v>230</v>
      </c>
      <c r="B12" s="64" t="s">
        <v>231</v>
      </c>
      <c r="C12" s="64" t="s">
        <v>232</v>
      </c>
      <c r="D12" s="64" t="s">
        <v>233</v>
      </c>
      <c r="E12" s="64" t="s">
        <v>234</v>
      </c>
      <c r="F12" s="64" t="s">
        <v>235</v>
      </c>
      <c r="G12" s="65" t="s">
        <v>110</v>
      </c>
      <c r="H12" s="66" t="str">
        <f t="shared" si="0"/>
        <v>N</v>
      </c>
      <c r="I12" s="67"/>
      <c r="J12" s="5"/>
      <c r="K12" s="5"/>
      <c r="L12" s="5"/>
    </row>
    <row r="13" spans="1:12" ht="65.150000000000006" customHeight="1">
      <c r="A13" s="371"/>
      <c r="B13" s="64" t="s">
        <v>236</v>
      </c>
      <c r="C13" s="64" t="s">
        <v>237</v>
      </c>
      <c r="D13" s="64" t="s">
        <v>238</v>
      </c>
      <c r="E13" s="64" t="s">
        <v>239</v>
      </c>
      <c r="F13" s="64" t="s">
        <v>240</v>
      </c>
      <c r="G13" s="65" t="s">
        <v>110</v>
      </c>
      <c r="H13" s="66" t="str">
        <f t="shared" si="0"/>
        <v>N</v>
      </c>
      <c r="I13" s="67"/>
      <c r="J13" s="5"/>
      <c r="K13" s="5"/>
      <c r="L13" s="5"/>
    </row>
    <row r="14" spans="1:12" ht="65.150000000000006" customHeight="1">
      <c r="A14" s="371"/>
      <c r="B14" s="64" t="s">
        <v>241</v>
      </c>
      <c r="C14" s="64" t="s">
        <v>242</v>
      </c>
      <c r="D14" s="64" t="s">
        <v>243</v>
      </c>
      <c r="E14" s="64" t="s">
        <v>244</v>
      </c>
      <c r="F14" s="64" t="s">
        <v>245</v>
      </c>
      <c r="G14" s="65" t="s">
        <v>110</v>
      </c>
      <c r="H14" s="66" t="str">
        <f t="shared" si="0"/>
        <v>N</v>
      </c>
      <c r="I14" s="67"/>
      <c r="J14" s="5"/>
      <c r="K14" s="5"/>
      <c r="L14" s="5"/>
    </row>
    <row r="15" spans="1:12" ht="65.150000000000006" customHeight="1" thickBot="1">
      <c r="A15" s="372"/>
      <c r="B15" s="64" t="s">
        <v>246</v>
      </c>
      <c r="C15" s="64" t="s">
        <v>247</v>
      </c>
      <c r="D15" s="64" t="s">
        <v>248</v>
      </c>
      <c r="E15" s="64" t="s">
        <v>249</v>
      </c>
      <c r="F15" s="64" t="s">
        <v>250</v>
      </c>
      <c r="G15" s="65" t="s">
        <v>110</v>
      </c>
      <c r="H15" s="66" t="str">
        <f t="shared" si="0"/>
        <v>N</v>
      </c>
      <c r="I15" s="67"/>
      <c r="J15" s="5"/>
      <c r="K15" s="5"/>
      <c r="L15" s="5"/>
    </row>
    <row r="16" spans="1:12" s="78" customFormat="1" ht="78">
      <c r="A16" s="373" t="s">
        <v>251</v>
      </c>
      <c r="B16" s="64" t="s">
        <v>252</v>
      </c>
      <c r="C16" s="64" t="s">
        <v>253</v>
      </c>
      <c r="D16" s="64" t="s">
        <v>254</v>
      </c>
      <c r="E16" s="64" t="s">
        <v>255</v>
      </c>
      <c r="F16" s="64" t="s">
        <v>256</v>
      </c>
      <c r="G16" s="65" t="s">
        <v>110</v>
      </c>
      <c r="H16" s="66" t="str">
        <f t="shared" si="0"/>
        <v>N</v>
      </c>
      <c r="I16" s="67"/>
      <c r="J16" s="77"/>
      <c r="K16" s="77"/>
      <c r="L16" s="77"/>
    </row>
    <row r="17" spans="1:12" ht="78">
      <c r="A17" s="374"/>
      <c r="B17" s="64" t="s">
        <v>257</v>
      </c>
      <c r="C17" s="64" t="s">
        <v>258</v>
      </c>
      <c r="D17" s="64" t="s">
        <v>259</v>
      </c>
      <c r="E17" s="64" t="s">
        <v>260</v>
      </c>
      <c r="F17" s="64" t="s">
        <v>261</v>
      </c>
      <c r="G17" s="65" t="s">
        <v>110</v>
      </c>
      <c r="H17" s="66" t="str">
        <f t="shared" si="0"/>
        <v>N</v>
      </c>
      <c r="I17" s="67"/>
      <c r="J17" s="5"/>
      <c r="K17" s="5"/>
      <c r="L17" s="5"/>
    </row>
    <row r="18" spans="1:12" ht="65">
      <c r="A18" s="374"/>
      <c r="B18" s="64" t="s">
        <v>262</v>
      </c>
      <c r="C18" s="64" t="s">
        <v>263</v>
      </c>
      <c r="D18" s="64" t="s">
        <v>264</v>
      </c>
      <c r="E18" s="64" t="s">
        <v>265</v>
      </c>
      <c r="F18" s="64" t="s">
        <v>266</v>
      </c>
      <c r="G18" s="65" t="s">
        <v>110</v>
      </c>
      <c r="H18" s="66" t="str">
        <f t="shared" si="0"/>
        <v>N</v>
      </c>
      <c r="I18" s="67"/>
      <c r="J18" s="5"/>
      <c r="K18" s="5"/>
      <c r="L18" s="5"/>
    </row>
    <row r="19" spans="1:12" ht="65.150000000000006" customHeight="1" thickBot="1">
      <c r="A19" s="375"/>
      <c r="B19" s="64" t="s">
        <v>267</v>
      </c>
      <c r="C19" s="64" t="s">
        <v>268</v>
      </c>
      <c r="D19" s="64" t="s">
        <v>269</v>
      </c>
      <c r="E19" s="64" t="s">
        <v>270</v>
      </c>
      <c r="F19" s="64" t="s">
        <v>271</v>
      </c>
      <c r="G19" s="65" t="s">
        <v>110</v>
      </c>
      <c r="H19" s="66" t="str">
        <f t="shared" si="0"/>
        <v>N</v>
      </c>
      <c r="I19" s="67"/>
      <c r="J19" s="5"/>
      <c r="K19" s="5"/>
      <c r="L19" s="5"/>
    </row>
    <row r="20" spans="1:12" ht="65.150000000000006" customHeight="1">
      <c r="A20" s="376" t="s">
        <v>272</v>
      </c>
      <c r="B20" s="64" t="s">
        <v>273</v>
      </c>
      <c r="C20" s="64" t="s">
        <v>274</v>
      </c>
      <c r="D20" s="64" t="s">
        <v>275</v>
      </c>
      <c r="E20" s="64" t="s">
        <v>276</v>
      </c>
      <c r="F20" s="64" t="s">
        <v>277</v>
      </c>
      <c r="G20" s="65" t="s">
        <v>110</v>
      </c>
      <c r="H20" s="66" t="str">
        <f t="shared" si="0"/>
        <v>N</v>
      </c>
      <c r="I20" s="67" t="str">
        <f>IF(J20=1,"Not Applicable as compliant to Blue Book","")</f>
        <v/>
      </c>
      <c r="J20" s="79"/>
      <c r="K20" s="5"/>
      <c r="L20" s="5"/>
    </row>
    <row r="21" spans="1:12" ht="65.150000000000006" customHeight="1">
      <c r="A21" s="377"/>
      <c r="B21" s="64" t="s">
        <v>278</v>
      </c>
      <c r="C21" s="64" t="s">
        <v>279</v>
      </c>
      <c r="D21" s="64" t="s">
        <v>280</v>
      </c>
      <c r="E21" s="64" t="s">
        <v>281</v>
      </c>
      <c r="F21" s="64" t="s">
        <v>282</v>
      </c>
      <c r="G21" s="65" t="s">
        <v>110</v>
      </c>
      <c r="H21" s="66" t="str">
        <f t="shared" si="0"/>
        <v>N</v>
      </c>
      <c r="I21" s="67"/>
      <c r="J21" s="5"/>
      <c r="K21" s="5"/>
      <c r="L21" s="5"/>
    </row>
    <row r="22" spans="1:12" ht="52">
      <c r="A22" s="377"/>
      <c r="B22" s="64" t="s">
        <v>283</v>
      </c>
      <c r="C22" s="64" t="s">
        <v>284</v>
      </c>
      <c r="D22" s="64" t="s">
        <v>285</v>
      </c>
      <c r="E22" s="64" t="s">
        <v>286</v>
      </c>
      <c r="F22" s="64" t="s">
        <v>287</v>
      </c>
      <c r="G22" s="65" t="s">
        <v>110</v>
      </c>
      <c r="H22" s="66" t="str">
        <f t="shared" si="0"/>
        <v>N</v>
      </c>
      <c r="I22" s="67"/>
      <c r="J22" s="5"/>
      <c r="K22" s="5"/>
      <c r="L22" s="5"/>
    </row>
    <row r="23" spans="1:12" ht="65.150000000000006" customHeight="1" thickBot="1">
      <c r="A23" s="378"/>
      <c r="B23" s="64" t="s">
        <v>288</v>
      </c>
      <c r="C23" s="64" t="s">
        <v>289</v>
      </c>
      <c r="D23" s="64" t="s">
        <v>290</v>
      </c>
      <c r="E23" s="64" t="s">
        <v>291</v>
      </c>
      <c r="F23" s="64" t="s">
        <v>292</v>
      </c>
      <c r="G23" s="65" t="s">
        <v>110</v>
      </c>
      <c r="H23" s="66" t="str">
        <f t="shared" si="0"/>
        <v>N</v>
      </c>
      <c r="I23" s="67"/>
      <c r="J23" s="5"/>
      <c r="K23" s="5"/>
      <c r="L23" s="5"/>
    </row>
    <row r="24" spans="1:12" ht="65.150000000000006" customHeight="1">
      <c r="A24" s="360" t="s">
        <v>293</v>
      </c>
      <c r="B24" s="64" t="s">
        <v>294</v>
      </c>
      <c r="C24" s="64" t="s">
        <v>295</v>
      </c>
      <c r="D24" s="64" t="s">
        <v>296</v>
      </c>
      <c r="E24" s="64" t="s">
        <v>297</v>
      </c>
      <c r="F24" s="64" t="s">
        <v>298</v>
      </c>
      <c r="G24" s="65" t="s">
        <v>110</v>
      </c>
      <c r="H24" s="66" t="str">
        <f t="shared" si="0"/>
        <v>N</v>
      </c>
      <c r="I24" s="67"/>
      <c r="J24" s="5"/>
      <c r="K24" s="5"/>
      <c r="L24" s="5"/>
    </row>
    <row r="25" spans="1:12" ht="68.25" customHeight="1" thickBot="1">
      <c r="A25" s="361"/>
      <c r="B25" s="64" t="s">
        <v>299</v>
      </c>
      <c r="C25" s="64" t="s">
        <v>300</v>
      </c>
      <c r="D25" s="64" t="s">
        <v>301</v>
      </c>
      <c r="E25" s="64" t="s">
        <v>302</v>
      </c>
      <c r="F25" s="64" t="s">
        <v>303</v>
      </c>
      <c r="G25" s="65" t="s">
        <v>110</v>
      </c>
      <c r="H25" s="66" t="str">
        <f t="shared" si="0"/>
        <v>N</v>
      </c>
      <c r="I25" s="67"/>
      <c r="J25" s="5"/>
      <c r="K25" s="5"/>
      <c r="L25" s="5"/>
    </row>
    <row r="26" spans="1:12" ht="14.5">
      <c r="A26" s="58"/>
      <c r="B26" s="59"/>
      <c r="C26" s="80"/>
      <c r="D26" s="80"/>
      <c r="E26" s="80"/>
      <c r="F26" s="80"/>
      <c r="G26" s="81"/>
      <c r="H26" s="81" t="str">
        <f t="shared" si="0"/>
        <v/>
      </c>
      <c r="I26" s="70"/>
      <c r="J26" s="5"/>
      <c r="K26" s="5"/>
      <c r="L26" s="5"/>
    </row>
    <row r="27" spans="1:12" ht="14.5">
      <c r="A27" s="58"/>
      <c r="B27" s="59"/>
      <c r="C27" s="80"/>
      <c r="D27" s="80"/>
      <c r="E27" s="80"/>
      <c r="F27" s="80"/>
      <c r="G27" s="81"/>
      <c r="H27" s="81" t="str">
        <f t="shared" si="0"/>
        <v/>
      </c>
      <c r="I27" s="70"/>
      <c r="J27" s="5"/>
      <c r="K27" s="5"/>
      <c r="L27" s="5"/>
    </row>
    <row r="28" spans="1:12" ht="14.5">
      <c r="A28" s="58"/>
      <c r="B28" s="59"/>
      <c r="C28" s="80"/>
      <c r="D28" s="80"/>
      <c r="E28" s="80"/>
      <c r="F28" s="80"/>
      <c r="G28" s="81"/>
      <c r="H28" s="5" t="str">
        <f t="shared" si="0"/>
        <v/>
      </c>
      <c r="I28" s="5"/>
      <c r="J28" s="5"/>
      <c r="K28" s="5"/>
      <c r="L28" s="5"/>
    </row>
    <row r="29" spans="1:12" ht="14.5">
      <c r="A29" s="82"/>
      <c r="B29" s="83"/>
      <c r="C29" s="84"/>
      <c r="D29" s="84"/>
      <c r="E29" s="84"/>
      <c r="F29" s="84"/>
      <c r="G29" s="79"/>
      <c r="H29" t="str">
        <f t="shared" si="0"/>
        <v/>
      </c>
    </row>
    <row r="30" spans="1:12" ht="14.5">
      <c r="A30" s="82"/>
      <c r="B30" s="83"/>
      <c r="C30" s="84"/>
      <c r="D30" s="84"/>
      <c r="E30" s="84"/>
      <c r="F30" s="84"/>
      <c r="G30" s="79"/>
      <c r="H30" t="str">
        <f t="shared" si="0"/>
        <v/>
      </c>
    </row>
    <row r="31" spans="1:12" ht="14.5">
      <c r="A31" s="82"/>
      <c r="B31" s="83"/>
      <c r="C31" s="84"/>
      <c r="D31" s="84"/>
      <c r="E31" s="84"/>
      <c r="F31" s="84"/>
      <c r="G31" s="79"/>
      <c r="H31" t="str">
        <f t="shared" si="0"/>
        <v/>
      </c>
    </row>
    <row r="32" spans="1:12" ht="14.5">
      <c r="A32" s="82"/>
      <c r="B32" s="83"/>
      <c r="C32" s="84"/>
      <c r="D32" s="84"/>
      <c r="E32" s="84"/>
      <c r="F32" s="84"/>
      <c r="G32" s="79"/>
      <c r="H32" t="str">
        <f t="shared" si="0"/>
        <v/>
      </c>
    </row>
    <row r="33" spans="1:8" ht="14.5">
      <c r="A33" s="82"/>
      <c r="B33" s="83"/>
      <c r="C33" s="84"/>
      <c r="D33" s="84"/>
      <c r="E33" s="84"/>
      <c r="F33" s="84"/>
      <c r="G33" s="79"/>
      <c r="H33" t="str">
        <f t="shared" si="0"/>
        <v/>
      </c>
    </row>
    <row r="34" spans="1:8" ht="14.5">
      <c r="A34" s="82"/>
      <c r="B34" s="83"/>
      <c r="C34" s="84"/>
      <c r="D34" s="84"/>
      <c r="E34" s="84"/>
      <c r="F34" s="84"/>
      <c r="G34" s="79"/>
      <c r="H34" t="str">
        <f t="shared" si="0"/>
        <v/>
      </c>
    </row>
    <row r="35" spans="1:8" ht="14.5">
      <c r="A35" s="82"/>
      <c r="B35" s="83"/>
      <c r="C35" s="84"/>
      <c r="D35" s="84"/>
      <c r="E35" s="84"/>
      <c r="F35" s="84"/>
      <c r="G35" s="79"/>
      <c r="H35" t="str">
        <f t="shared" si="0"/>
        <v/>
      </c>
    </row>
    <row r="36" spans="1:8" ht="14.5">
      <c r="A36" s="82"/>
      <c r="B36" s="83"/>
      <c r="C36" s="84"/>
      <c r="D36" s="84"/>
      <c r="E36" s="84"/>
      <c r="F36" s="84"/>
      <c r="G36" s="79"/>
      <c r="H36" t="str">
        <f t="shared" si="0"/>
        <v/>
      </c>
    </row>
    <row r="37" spans="1:8" ht="14.5">
      <c r="A37" s="82"/>
      <c r="B37" s="83"/>
      <c r="C37" s="84"/>
      <c r="D37" s="84"/>
      <c r="E37" s="84"/>
      <c r="F37" s="84"/>
      <c r="G37" s="79"/>
      <c r="H37" t="str">
        <f t="shared" si="0"/>
        <v/>
      </c>
    </row>
    <row r="38" spans="1:8" ht="14.5">
      <c r="A38" s="82"/>
      <c r="B38" s="83"/>
      <c r="C38" s="84"/>
      <c r="D38" s="84"/>
      <c r="E38" s="84"/>
      <c r="F38" s="84"/>
      <c r="G38" s="79"/>
      <c r="H38" t="str">
        <f t="shared" si="0"/>
        <v/>
      </c>
    </row>
    <row r="39" spans="1:8" ht="14.5">
      <c r="A39" s="82"/>
      <c r="B39" s="83"/>
      <c r="C39" s="84"/>
      <c r="D39" s="84"/>
      <c r="E39" s="84"/>
      <c r="F39" s="84"/>
      <c r="G39" s="79"/>
      <c r="H39" t="str">
        <f t="shared" si="0"/>
        <v/>
      </c>
    </row>
    <row r="40" spans="1:8" ht="14.5">
      <c r="A40" s="82"/>
      <c r="B40" s="83"/>
      <c r="C40" s="84"/>
      <c r="D40" s="84"/>
      <c r="E40" s="84"/>
      <c r="F40" s="84"/>
      <c r="G40" s="79"/>
      <c r="H40" t="str">
        <f t="shared" si="0"/>
        <v/>
      </c>
    </row>
    <row r="41" spans="1:8" ht="14.5">
      <c r="A41" s="82"/>
      <c r="B41" s="83"/>
      <c r="C41" s="84"/>
      <c r="D41" s="84"/>
      <c r="E41" s="84"/>
      <c r="F41" s="84"/>
      <c r="G41" s="79"/>
      <c r="H41" t="str">
        <f t="shared" si="0"/>
        <v/>
      </c>
    </row>
    <row r="42" spans="1:8" ht="14.5">
      <c r="A42" s="82"/>
      <c r="B42" s="83"/>
      <c r="C42" s="84"/>
      <c r="D42" s="84"/>
      <c r="E42" s="84"/>
      <c r="F42" s="84"/>
      <c r="G42" s="79"/>
      <c r="H42" t="str">
        <f t="shared" si="0"/>
        <v/>
      </c>
    </row>
    <row r="43" spans="1:8" ht="14.5">
      <c r="A43" s="82"/>
      <c r="B43" s="83"/>
      <c r="C43" s="84"/>
      <c r="D43" s="84"/>
      <c r="E43" s="84"/>
      <c r="F43" s="84"/>
      <c r="G43" s="79"/>
      <c r="H43" t="str">
        <f t="shared" si="0"/>
        <v/>
      </c>
    </row>
    <row r="44" spans="1:8" ht="14.5">
      <c r="A44" s="82"/>
      <c r="B44" s="83"/>
      <c r="C44" s="84"/>
      <c r="D44" s="84"/>
      <c r="E44" s="84"/>
      <c r="F44" s="84"/>
      <c r="G44" s="79"/>
      <c r="H44" t="str">
        <f t="shared" si="0"/>
        <v/>
      </c>
    </row>
    <row r="45" spans="1:8" ht="14.5">
      <c r="A45" s="82"/>
      <c r="B45" s="83"/>
      <c r="C45" s="84"/>
      <c r="D45" s="84"/>
      <c r="E45" s="84"/>
      <c r="F45" s="84"/>
      <c r="G45" s="79"/>
      <c r="H45" t="str">
        <f t="shared" si="0"/>
        <v/>
      </c>
    </row>
    <row r="46" spans="1:8" ht="14.5">
      <c r="A46" s="82"/>
      <c r="B46" s="83"/>
      <c r="C46" s="84"/>
      <c r="D46" s="84"/>
      <c r="E46" s="84"/>
      <c r="F46" s="84"/>
      <c r="G46" s="79"/>
      <c r="H46" t="str">
        <f t="shared" si="0"/>
        <v/>
      </c>
    </row>
    <row r="47" spans="1:8" ht="14.5">
      <c r="A47" s="82"/>
      <c r="B47" s="83"/>
      <c r="C47" s="84"/>
      <c r="D47" s="84"/>
      <c r="E47" s="84"/>
      <c r="F47" s="84"/>
      <c r="G47" s="79"/>
      <c r="H47" t="str">
        <f t="shared" si="0"/>
        <v/>
      </c>
    </row>
    <row r="48" spans="1:8" ht="14.5">
      <c r="A48" s="82"/>
      <c r="B48" s="83"/>
      <c r="C48" s="84"/>
      <c r="D48" s="84"/>
      <c r="E48" s="84"/>
      <c r="F48" s="84"/>
      <c r="G48" s="79"/>
      <c r="H48" t="str">
        <f t="shared" si="0"/>
        <v/>
      </c>
    </row>
    <row r="49" spans="1:8" ht="14.5">
      <c r="A49" s="82"/>
      <c r="B49" s="83"/>
      <c r="C49" s="84"/>
      <c r="D49" s="84"/>
      <c r="E49" s="84"/>
      <c r="F49" s="84"/>
      <c r="G49" s="79"/>
      <c r="H49" t="str">
        <f t="shared" si="0"/>
        <v/>
      </c>
    </row>
    <row r="50" spans="1:8" ht="14.5">
      <c r="A50" s="82"/>
      <c r="B50" s="83"/>
      <c r="C50" s="84"/>
      <c r="D50" s="84"/>
      <c r="E50" s="84"/>
      <c r="F50" s="84"/>
      <c r="G50" s="79"/>
      <c r="H50" t="str">
        <f t="shared" si="0"/>
        <v/>
      </c>
    </row>
    <row r="51" spans="1:8" ht="14.5">
      <c r="A51" s="82"/>
      <c r="B51" s="83"/>
      <c r="C51" s="84"/>
      <c r="D51" s="84"/>
      <c r="E51" s="84"/>
      <c r="F51" s="84"/>
      <c r="G51" s="79"/>
      <c r="H51" t="str">
        <f t="shared" si="0"/>
        <v/>
      </c>
    </row>
    <row r="52" spans="1:8" ht="14.5">
      <c r="A52" s="82"/>
      <c r="B52" s="83"/>
      <c r="C52" s="84"/>
      <c r="D52" s="84"/>
      <c r="E52" s="84"/>
      <c r="F52" s="84"/>
      <c r="G52" s="79"/>
      <c r="H52" t="str">
        <f t="shared" si="0"/>
        <v/>
      </c>
    </row>
    <row r="53" spans="1:8" ht="14.5">
      <c r="A53" s="82"/>
      <c r="B53" s="83"/>
      <c r="C53" s="84"/>
      <c r="D53" s="84"/>
      <c r="E53" s="84"/>
      <c r="F53" s="84"/>
      <c r="G53" s="79"/>
      <c r="H53" t="str">
        <f t="shared" si="0"/>
        <v/>
      </c>
    </row>
    <row r="54" spans="1:8" ht="14.5">
      <c r="A54" s="82"/>
      <c r="B54" s="83"/>
      <c r="C54" s="84"/>
      <c r="D54" s="84"/>
      <c r="E54" s="84"/>
      <c r="F54" s="84"/>
      <c r="G54" s="79"/>
      <c r="H54" t="str">
        <f t="shared" si="0"/>
        <v/>
      </c>
    </row>
    <row r="55" spans="1:8" ht="14.5">
      <c r="A55" s="82"/>
      <c r="B55" s="83"/>
      <c r="C55" s="84"/>
      <c r="D55" s="84"/>
      <c r="E55" s="84"/>
      <c r="F55" s="84"/>
      <c r="G55" s="79"/>
      <c r="H55" t="str">
        <f t="shared" si="0"/>
        <v/>
      </c>
    </row>
    <row r="56" spans="1:8" ht="14.5">
      <c r="A56" s="82"/>
      <c r="B56" s="83"/>
      <c r="C56" s="84"/>
      <c r="D56" s="84"/>
      <c r="E56" s="84"/>
      <c r="F56" s="84"/>
      <c r="G56" s="79"/>
      <c r="H56" t="str">
        <f t="shared" si="0"/>
        <v/>
      </c>
    </row>
    <row r="57" spans="1:8" ht="14.5">
      <c r="A57" s="82"/>
      <c r="B57" s="83"/>
      <c r="C57" s="84"/>
      <c r="D57" s="84"/>
      <c r="E57" s="84"/>
      <c r="F57" s="84"/>
      <c r="G57" s="79"/>
      <c r="H57" t="str">
        <f t="shared" si="0"/>
        <v/>
      </c>
    </row>
    <row r="58" spans="1:8" ht="14.5">
      <c r="A58" s="82"/>
      <c r="B58" s="83"/>
      <c r="C58" s="84"/>
      <c r="D58" s="84"/>
      <c r="E58" s="84"/>
      <c r="F58" s="84"/>
      <c r="G58" s="79"/>
      <c r="H58" t="str">
        <f t="shared" si="0"/>
        <v/>
      </c>
    </row>
    <row r="59" spans="1:8" ht="14.5">
      <c r="A59" s="82"/>
      <c r="B59" s="83"/>
      <c r="C59" s="84"/>
      <c r="D59" s="84"/>
      <c r="E59" s="84"/>
      <c r="F59" s="84"/>
      <c r="G59" s="79"/>
      <c r="H59" t="str">
        <f t="shared" si="0"/>
        <v/>
      </c>
    </row>
    <row r="60" spans="1:8" ht="14.5">
      <c r="A60" s="82"/>
      <c r="B60" s="83"/>
      <c r="C60" s="84"/>
      <c r="D60" s="84"/>
      <c r="E60" s="84"/>
      <c r="F60" s="84"/>
      <c r="G60" s="79"/>
      <c r="H60" t="str">
        <f t="shared" si="0"/>
        <v/>
      </c>
    </row>
    <row r="61" spans="1:8" ht="14.5">
      <c r="A61" s="82"/>
      <c r="B61" s="83"/>
      <c r="C61" s="84"/>
      <c r="D61" s="84"/>
      <c r="E61" s="84"/>
      <c r="F61" s="84"/>
      <c r="G61" s="79"/>
      <c r="H61" t="str">
        <f t="shared" si="0"/>
        <v/>
      </c>
    </row>
    <row r="62" spans="1:8" ht="14.5">
      <c r="A62" s="82"/>
      <c r="B62" s="83"/>
      <c r="C62" s="84"/>
      <c r="D62" s="84"/>
      <c r="E62" s="84"/>
      <c r="F62" s="84"/>
      <c r="G62" s="79"/>
      <c r="H62" t="str">
        <f t="shared" si="0"/>
        <v/>
      </c>
    </row>
    <row r="63" spans="1:8" ht="14.5">
      <c r="A63" s="82"/>
      <c r="B63" s="83"/>
      <c r="C63" s="84"/>
      <c r="D63" s="84"/>
      <c r="E63" s="84"/>
      <c r="F63" s="84"/>
      <c r="G63" s="79"/>
      <c r="H63" t="str">
        <f t="shared" si="0"/>
        <v/>
      </c>
    </row>
    <row r="64" spans="1:8" ht="14.5">
      <c r="A64" s="82"/>
      <c r="B64" s="83"/>
      <c r="C64" s="84"/>
      <c r="D64" s="84"/>
      <c r="E64" s="84"/>
      <c r="F64" s="84"/>
      <c r="G64" s="79"/>
      <c r="H64" t="str">
        <f t="shared" si="0"/>
        <v/>
      </c>
    </row>
    <row r="65" spans="1:8" ht="14.5">
      <c r="A65" s="82"/>
      <c r="B65" s="83"/>
      <c r="C65" s="84"/>
      <c r="D65" s="84"/>
      <c r="E65" s="84"/>
      <c r="F65" s="84"/>
      <c r="G65" s="79"/>
      <c r="H65" t="str">
        <f t="shared" si="0"/>
        <v/>
      </c>
    </row>
    <row r="66" spans="1:8" ht="14.5">
      <c r="A66" s="82"/>
      <c r="B66" s="83"/>
      <c r="C66" s="84"/>
      <c r="D66" s="84"/>
      <c r="E66" s="84"/>
      <c r="F66" s="84"/>
      <c r="G66" s="79"/>
      <c r="H66" t="str">
        <f t="shared" si="0"/>
        <v/>
      </c>
    </row>
    <row r="67" spans="1:8" ht="14.5">
      <c r="A67" s="82"/>
      <c r="B67" s="83"/>
      <c r="C67" s="84"/>
      <c r="D67" s="84"/>
      <c r="E67" s="84"/>
      <c r="F67" s="84"/>
      <c r="G67" s="79"/>
      <c r="H67" t="str">
        <f t="shared" si="0"/>
        <v/>
      </c>
    </row>
    <row r="68" spans="1:8" ht="14.5">
      <c r="A68" s="82"/>
      <c r="B68" s="83"/>
      <c r="C68" s="84"/>
      <c r="D68" s="84"/>
      <c r="E68" s="84"/>
      <c r="F68" s="84"/>
      <c r="G68" s="79"/>
      <c r="H68" t="str">
        <f t="shared" si="0"/>
        <v/>
      </c>
    </row>
    <row r="69" spans="1:8" ht="14.5">
      <c r="A69" s="82"/>
      <c r="B69" s="83"/>
      <c r="C69" s="84"/>
      <c r="D69" s="84"/>
      <c r="E69" s="84"/>
      <c r="F69" s="84"/>
      <c r="G69" s="79"/>
      <c r="H69" t="str">
        <f t="shared" si="0"/>
        <v/>
      </c>
    </row>
    <row r="70" spans="1:8" ht="14.5">
      <c r="A70" s="82"/>
      <c r="B70" s="83"/>
      <c r="C70" s="84"/>
      <c r="D70" s="84"/>
      <c r="E70" s="84"/>
      <c r="F70" s="84"/>
      <c r="G70" s="79"/>
      <c r="H70" t="str">
        <f t="shared" si="0"/>
        <v/>
      </c>
    </row>
    <row r="71" spans="1:8" ht="14.5">
      <c r="A71" s="82"/>
      <c r="B71" s="83"/>
      <c r="C71" s="84"/>
      <c r="D71" s="84"/>
      <c r="E71" s="84"/>
      <c r="F71" s="84"/>
      <c r="G71" s="79"/>
      <c r="H71" t="str">
        <f t="shared" ref="H71:H103" si="1">IF(G71="","",IF(G71="L","N",(IF(G71="NA","N","Yes"))))</f>
        <v/>
      </c>
    </row>
    <row r="72" spans="1:8" ht="14.5">
      <c r="A72" s="82"/>
      <c r="B72" s="83"/>
      <c r="C72" s="84"/>
      <c r="D72" s="84"/>
      <c r="E72" s="84"/>
      <c r="F72" s="84"/>
      <c r="G72" s="79"/>
      <c r="H72" t="str">
        <f t="shared" si="1"/>
        <v/>
      </c>
    </row>
    <row r="73" spans="1:8" ht="14.5">
      <c r="A73" s="82"/>
      <c r="B73" s="83"/>
      <c r="C73" s="84"/>
      <c r="D73" s="84"/>
      <c r="E73" s="84"/>
      <c r="F73" s="84"/>
      <c r="G73" s="79"/>
      <c r="H73" t="str">
        <f t="shared" si="1"/>
        <v/>
      </c>
    </row>
    <row r="74" spans="1:8" ht="14.5">
      <c r="A74" s="82"/>
      <c r="B74" s="83"/>
      <c r="C74" s="84"/>
      <c r="D74" s="84"/>
      <c r="E74" s="84"/>
      <c r="F74" s="84"/>
      <c r="G74" s="79"/>
      <c r="H74" t="str">
        <f t="shared" si="1"/>
        <v/>
      </c>
    </row>
    <row r="75" spans="1:8" ht="14.5">
      <c r="A75" s="82"/>
      <c r="B75" s="83"/>
      <c r="C75" s="84"/>
      <c r="D75" s="84"/>
      <c r="E75" s="84"/>
      <c r="F75" s="84"/>
      <c r="G75" s="79"/>
      <c r="H75" t="str">
        <f t="shared" si="1"/>
        <v/>
      </c>
    </row>
    <row r="76" spans="1:8" ht="14.5">
      <c r="A76" s="82"/>
      <c r="B76" s="83"/>
      <c r="C76" s="84"/>
      <c r="D76" s="84"/>
      <c r="E76" s="84"/>
      <c r="F76" s="84"/>
      <c r="G76" s="79"/>
      <c r="H76" t="str">
        <f t="shared" si="1"/>
        <v/>
      </c>
    </row>
    <row r="77" spans="1:8" ht="14.5">
      <c r="A77" s="82"/>
      <c r="B77" s="83"/>
      <c r="C77" s="84"/>
      <c r="D77" s="84"/>
      <c r="E77" s="84"/>
      <c r="F77" s="84"/>
      <c r="G77" s="79"/>
      <c r="H77" t="str">
        <f t="shared" si="1"/>
        <v/>
      </c>
    </row>
    <row r="78" spans="1:8" ht="14.5">
      <c r="A78" s="82"/>
      <c r="B78" s="83"/>
      <c r="C78" s="84"/>
      <c r="D78" s="84"/>
      <c r="E78" s="84"/>
      <c r="F78" s="84"/>
      <c r="G78" s="79"/>
      <c r="H78" t="str">
        <f t="shared" si="1"/>
        <v/>
      </c>
    </row>
    <row r="79" spans="1:8" ht="14.5">
      <c r="A79" s="82"/>
      <c r="B79" s="83"/>
      <c r="C79" s="84"/>
      <c r="D79" s="84"/>
      <c r="E79" s="84"/>
      <c r="F79" s="84"/>
      <c r="G79" s="79"/>
      <c r="H79" t="str">
        <f t="shared" si="1"/>
        <v/>
      </c>
    </row>
    <row r="80" spans="1:8" ht="14.5">
      <c r="A80" s="82"/>
      <c r="B80" s="83"/>
      <c r="C80" s="84"/>
      <c r="D80" s="84"/>
      <c r="E80" s="84"/>
      <c r="F80" s="84"/>
      <c r="G80" s="79"/>
      <c r="H80" t="str">
        <f t="shared" si="1"/>
        <v/>
      </c>
    </row>
    <row r="81" spans="1:8" ht="14.5">
      <c r="A81" s="82"/>
      <c r="B81" s="83"/>
      <c r="C81" s="84"/>
      <c r="D81" s="84"/>
      <c r="E81" s="84"/>
      <c r="F81" s="84"/>
      <c r="G81" s="79"/>
      <c r="H81" t="str">
        <f t="shared" si="1"/>
        <v/>
      </c>
    </row>
    <row r="82" spans="1:8" ht="14.5">
      <c r="A82" s="82"/>
      <c r="B82" s="83"/>
      <c r="C82" s="84"/>
      <c r="D82" s="84"/>
      <c r="E82" s="84"/>
      <c r="F82" s="84"/>
      <c r="G82" s="79"/>
      <c r="H82" t="str">
        <f t="shared" si="1"/>
        <v/>
      </c>
    </row>
    <row r="83" spans="1:8" ht="14.5">
      <c r="A83" s="82"/>
      <c r="B83" s="83"/>
      <c r="C83" s="84"/>
      <c r="D83" s="84"/>
      <c r="E83" s="84"/>
      <c r="F83" s="84"/>
      <c r="G83" s="79"/>
      <c r="H83" t="str">
        <f t="shared" si="1"/>
        <v/>
      </c>
    </row>
    <row r="84" spans="1:8" ht="14.5">
      <c r="A84" s="82"/>
      <c r="B84" s="83"/>
      <c r="C84" s="84"/>
      <c r="D84" s="84"/>
      <c r="E84" s="84"/>
      <c r="F84" s="84"/>
      <c r="G84" s="79"/>
      <c r="H84" t="str">
        <f t="shared" si="1"/>
        <v/>
      </c>
    </row>
    <row r="85" spans="1:8" ht="14.5">
      <c r="A85" s="82"/>
      <c r="B85" s="83"/>
      <c r="C85" s="84"/>
      <c r="D85" s="84"/>
      <c r="E85" s="84"/>
      <c r="F85" s="84"/>
      <c r="G85" s="79"/>
      <c r="H85" t="str">
        <f t="shared" si="1"/>
        <v/>
      </c>
    </row>
    <row r="86" spans="1:8" ht="14.5">
      <c r="A86" s="82"/>
      <c r="B86" s="83"/>
      <c r="C86" s="84"/>
      <c r="D86" s="84"/>
      <c r="E86" s="84"/>
      <c r="F86" s="84"/>
      <c r="G86" s="79"/>
      <c r="H86" t="str">
        <f t="shared" si="1"/>
        <v/>
      </c>
    </row>
    <row r="87" spans="1:8" ht="14.5">
      <c r="A87" s="82"/>
      <c r="B87" s="83"/>
      <c r="C87" s="84"/>
      <c r="D87" s="84"/>
      <c r="E87" s="84"/>
      <c r="F87" s="84"/>
      <c r="G87" s="79"/>
      <c r="H87" t="str">
        <f t="shared" si="1"/>
        <v/>
      </c>
    </row>
    <row r="88" spans="1:8" ht="14.5">
      <c r="A88" s="82"/>
      <c r="B88" s="83"/>
      <c r="C88" s="84"/>
      <c r="D88" s="84"/>
      <c r="E88" s="84"/>
      <c r="F88" s="84"/>
      <c r="G88" s="79"/>
      <c r="H88" t="str">
        <f t="shared" si="1"/>
        <v/>
      </c>
    </row>
    <row r="89" spans="1:8" ht="14.5">
      <c r="A89" s="82"/>
      <c r="B89" s="83"/>
      <c r="C89" s="84"/>
      <c r="D89" s="84"/>
      <c r="E89" s="84"/>
      <c r="F89" s="84"/>
      <c r="G89" s="79"/>
      <c r="H89" t="str">
        <f t="shared" si="1"/>
        <v/>
      </c>
    </row>
    <row r="90" spans="1:8" ht="14.5">
      <c r="A90" s="82"/>
      <c r="B90" s="83"/>
      <c r="C90" s="84"/>
      <c r="D90" s="84"/>
      <c r="E90" s="84"/>
      <c r="F90" s="84"/>
      <c r="G90" s="79"/>
      <c r="H90" t="str">
        <f t="shared" si="1"/>
        <v/>
      </c>
    </row>
    <row r="91" spans="1:8" ht="14.5">
      <c r="A91" s="82"/>
      <c r="B91" s="83"/>
      <c r="C91" s="84"/>
      <c r="D91" s="84"/>
      <c r="E91" s="84"/>
      <c r="F91" s="84"/>
      <c r="G91" s="79"/>
      <c r="H91" t="str">
        <f t="shared" si="1"/>
        <v/>
      </c>
    </row>
    <row r="92" spans="1:8" ht="14.5">
      <c r="A92" s="82"/>
      <c r="B92" s="83"/>
      <c r="C92" s="84"/>
      <c r="D92" s="84"/>
      <c r="E92" s="84"/>
      <c r="F92" s="84"/>
      <c r="G92" s="79"/>
      <c r="H92" t="str">
        <f t="shared" si="1"/>
        <v/>
      </c>
    </row>
    <row r="93" spans="1:8" ht="14.5">
      <c r="A93" s="82"/>
      <c r="B93" s="83"/>
      <c r="C93" s="84"/>
      <c r="D93" s="84"/>
      <c r="E93" s="84"/>
      <c r="F93" s="84"/>
      <c r="G93" s="79"/>
      <c r="H93" t="str">
        <f t="shared" si="1"/>
        <v/>
      </c>
    </row>
    <row r="94" spans="1:8" ht="14.5">
      <c r="A94" s="82"/>
      <c r="B94" s="83"/>
      <c r="C94" s="84"/>
      <c r="D94" s="84"/>
      <c r="E94" s="84"/>
      <c r="F94" s="84"/>
      <c r="G94" s="79"/>
      <c r="H94" t="str">
        <f t="shared" si="1"/>
        <v/>
      </c>
    </row>
    <row r="95" spans="1:8" ht="14.5">
      <c r="A95" s="82"/>
      <c r="B95" s="83"/>
      <c r="C95" s="84"/>
      <c r="D95" s="84"/>
      <c r="E95" s="84"/>
      <c r="F95" s="84"/>
      <c r="G95" s="79"/>
      <c r="H95" t="str">
        <f t="shared" si="1"/>
        <v/>
      </c>
    </row>
    <row r="96" spans="1:8" ht="14.5">
      <c r="A96" s="82"/>
      <c r="B96" s="83"/>
      <c r="C96" s="84"/>
      <c r="D96" s="84"/>
      <c r="E96" s="84"/>
      <c r="F96" s="84"/>
      <c r="G96" s="79"/>
      <c r="H96" t="str">
        <f t="shared" si="1"/>
        <v/>
      </c>
    </row>
    <row r="97" spans="1:8" ht="14.5">
      <c r="A97" s="82"/>
      <c r="B97" s="83"/>
      <c r="C97" s="84"/>
      <c r="D97" s="84"/>
      <c r="E97" s="84"/>
      <c r="F97" s="84"/>
      <c r="G97" s="79"/>
      <c r="H97" t="str">
        <f t="shared" si="1"/>
        <v/>
      </c>
    </row>
    <row r="98" spans="1:8" ht="14.5">
      <c r="A98" s="82"/>
      <c r="B98" s="83"/>
      <c r="C98" s="84"/>
      <c r="D98" s="84"/>
      <c r="E98" s="84"/>
      <c r="F98" s="84"/>
      <c r="G98" s="79"/>
      <c r="H98" t="str">
        <f t="shared" si="1"/>
        <v/>
      </c>
    </row>
    <row r="99" spans="1:8" ht="14.5">
      <c r="A99" s="82"/>
      <c r="B99" s="83"/>
      <c r="C99" s="84"/>
      <c r="D99" s="84"/>
      <c r="E99" s="84"/>
      <c r="F99" s="84"/>
      <c r="G99" s="79"/>
      <c r="H99" t="str">
        <f t="shared" si="1"/>
        <v/>
      </c>
    </row>
    <row r="100" spans="1:8" ht="14.5">
      <c r="A100" s="82"/>
      <c r="B100" s="83"/>
      <c r="C100" s="84"/>
      <c r="D100" s="84"/>
      <c r="E100" s="84"/>
      <c r="F100" s="84"/>
      <c r="G100" s="79"/>
      <c r="H100" t="str">
        <f t="shared" si="1"/>
        <v/>
      </c>
    </row>
    <row r="101" spans="1:8" ht="14.5">
      <c r="A101" s="82"/>
      <c r="B101" s="83"/>
      <c r="C101" s="84"/>
      <c r="D101" s="84"/>
      <c r="E101" s="84"/>
      <c r="F101" s="84"/>
      <c r="G101" s="79"/>
      <c r="H101" t="str">
        <f t="shared" si="1"/>
        <v/>
      </c>
    </row>
    <row r="102" spans="1:8" ht="14.5">
      <c r="A102" s="82"/>
      <c r="B102" s="83"/>
      <c r="C102" s="84"/>
      <c r="D102" s="84"/>
      <c r="E102" s="84"/>
      <c r="F102" s="84"/>
      <c r="G102" s="79"/>
      <c r="H102" t="str">
        <f t="shared" si="1"/>
        <v/>
      </c>
    </row>
    <row r="103" spans="1:8" ht="14.5">
      <c r="A103" s="82"/>
      <c r="B103" s="83"/>
      <c r="C103" s="84"/>
      <c r="D103" s="84"/>
      <c r="E103" s="84"/>
      <c r="F103" s="84"/>
      <c r="G103" s="79"/>
      <c r="H103" t="str">
        <f t="shared" si="1"/>
        <v/>
      </c>
    </row>
  </sheetData>
  <mergeCells count="7">
    <mergeCell ref="A24:A25"/>
    <mergeCell ref="B4:I4"/>
    <mergeCell ref="A6:A8"/>
    <mergeCell ref="A9:A11"/>
    <mergeCell ref="A12:A15"/>
    <mergeCell ref="A16:A19"/>
    <mergeCell ref="A20:A23"/>
  </mergeCells>
  <conditionalFormatting sqref="B6:I25">
    <cfRule type="expression" dxfId="5" priority="1" stopIfTrue="1">
      <formula>$G6="H"</formula>
    </cfRule>
    <cfRule type="expression" dxfId="4" priority="2" stopIfTrue="1">
      <formula>$G6="M"</formula>
    </cfRule>
    <cfRule type="expression" dxfId="3" priority="3" stopIfTrue="1">
      <formula>$G6="L"</formula>
    </cfRule>
  </conditionalFormatting>
  <dataValidations count="1">
    <dataValidation type="list" allowBlank="1" showInputMessage="1" showErrorMessage="1" prompt="Please enter the most appropriate response_x000a_H, M, L, NA (Not Applicable)" sqref="G6:G103 JC6:JC103 SY6:SY103 ACU6:ACU103 AMQ6:AMQ103 AWM6:AWM103 BGI6:BGI103 BQE6:BQE103 CAA6:CAA103 CJW6:CJW103 CTS6:CTS103 DDO6:DDO103 DNK6:DNK103 DXG6:DXG103 EHC6:EHC103 EQY6:EQY103 FAU6:FAU103 FKQ6:FKQ103 FUM6:FUM103 GEI6:GEI103 GOE6:GOE103 GYA6:GYA103 HHW6:HHW103 HRS6:HRS103 IBO6:IBO103 ILK6:ILK103 IVG6:IVG103 JFC6:JFC103 JOY6:JOY103 JYU6:JYU103 KIQ6:KIQ103 KSM6:KSM103 LCI6:LCI103 LME6:LME103 LWA6:LWA103 MFW6:MFW103 MPS6:MPS103 MZO6:MZO103 NJK6:NJK103 NTG6:NTG103 ODC6:ODC103 OMY6:OMY103 OWU6:OWU103 PGQ6:PGQ103 PQM6:PQM103 QAI6:QAI103 QKE6:QKE103 QUA6:QUA103 RDW6:RDW103 RNS6:RNS103 RXO6:RXO103 SHK6:SHK103 SRG6:SRG103 TBC6:TBC103 TKY6:TKY103 TUU6:TUU103 UEQ6:UEQ103 UOM6:UOM103 UYI6:UYI103 VIE6:VIE103 VSA6:VSA103 WBW6:WBW103 WLS6:WLS103 WVO6:WVO103 G65542:G65639 JC65542:JC65639 SY65542:SY65639 ACU65542:ACU65639 AMQ65542:AMQ65639 AWM65542:AWM65639 BGI65542:BGI65639 BQE65542:BQE65639 CAA65542:CAA65639 CJW65542:CJW65639 CTS65542:CTS65639 DDO65542:DDO65639 DNK65542:DNK65639 DXG65542:DXG65639 EHC65542:EHC65639 EQY65542:EQY65639 FAU65542:FAU65639 FKQ65542:FKQ65639 FUM65542:FUM65639 GEI65542:GEI65639 GOE65542:GOE65639 GYA65542:GYA65639 HHW65542:HHW65639 HRS65542:HRS65639 IBO65542:IBO65639 ILK65542:ILK65639 IVG65542:IVG65639 JFC65542:JFC65639 JOY65542:JOY65639 JYU65542:JYU65639 KIQ65542:KIQ65639 KSM65542:KSM65639 LCI65542:LCI65639 LME65542:LME65639 LWA65542:LWA65639 MFW65542:MFW65639 MPS65542:MPS65639 MZO65542:MZO65639 NJK65542:NJK65639 NTG65542:NTG65639 ODC65542:ODC65639 OMY65542:OMY65639 OWU65542:OWU65639 PGQ65542:PGQ65639 PQM65542:PQM65639 QAI65542:QAI65639 QKE65542:QKE65639 QUA65542:QUA65639 RDW65542:RDW65639 RNS65542:RNS65639 RXO65542:RXO65639 SHK65542:SHK65639 SRG65542:SRG65639 TBC65542:TBC65639 TKY65542:TKY65639 TUU65542:TUU65639 UEQ65542:UEQ65639 UOM65542:UOM65639 UYI65542:UYI65639 VIE65542:VIE65639 VSA65542:VSA65639 WBW65542:WBW65639 WLS65542:WLS65639 WVO65542:WVO65639 G131078:G131175 JC131078:JC131175 SY131078:SY131175 ACU131078:ACU131175 AMQ131078:AMQ131175 AWM131078:AWM131175 BGI131078:BGI131175 BQE131078:BQE131175 CAA131078:CAA131175 CJW131078:CJW131175 CTS131078:CTS131175 DDO131078:DDO131175 DNK131078:DNK131175 DXG131078:DXG131175 EHC131078:EHC131175 EQY131078:EQY131175 FAU131078:FAU131175 FKQ131078:FKQ131175 FUM131078:FUM131175 GEI131078:GEI131175 GOE131078:GOE131175 GYA131078:GYA131175 HHW131078:HHW131175 HRS131078:HRS131175 IBO131078:IBO131175 ILK131078:ILK131175 IVG131078:IVG131175 JFC131078:JFC131175 JOY131078:JOY131175 JYU131078:JYU131175 KIQ131078:KIQ131175 KSM131078:KSM131175 LCI131078:LCI131175 LME131078:LME131175 LWA131078:LWA131175 MFW131078:MFW131175 MPS131078:MPS131175 MZO131078:MZO131175 NJK131078:NJK131175 NTG131078:NTG131175 ODC131078:ODC131175 OMY131078:OMY131175 OWU131078:OWU131175 PGQ131078:PGQ131175 PQM131078:PQM131175 QAI131078:QAI131175 QKE131078:QKE131175 QUA131078:QUA131175 RDW131078:RDW131175 RNS131078:RNS131175 RXO131078:RXO131175 SHK131078:SHK131175 SRG131078:SRG131175 TBC131078:TBC131175 TKY131078:TKY131175 TUU131078:TUU131175 UEQ131078:UEQ131175 UOM131078:UOM131175 UYI131078:UYI131175 VIE131078:VIE131175 VSA131078:VSA131175 WBW131078:WBW131175 WLS131078:WLS131175 WVO131078:WVO131175 G196614:G196711 JC196614:JC196711 SY196614:SY196711 ACU196614:ACU196711 AMQ196614:AMQ196711 AWM196614:AWM196711 BGI196614:BGI196711 BQE196614:BQE196711 CAA196614:CAA196711 CJW196614:CJW196711 CTS196614:CTS196711 DDO196614:DDO196711 DNK196614:DNK196711 DXG196614:DXG196711 EHC196614:EHC196711 EQY196614:EQY196711 FAU196614:FAU196711 FKQ196614:FKQ196711 FUM196614:FUM196711 GEI196614:GEI196711 GOE196614:GOE196711 GYA196614:GYA196711 HHW196614:HHW196711 HRS196614:HRS196711 IBO196614:IBO196711 ILK196614:ILK196711 IVG196614:IVG196711 JFC196614:JFC196711 JOY196614:JOY196711 JYU196614:JYU196711 KIQ196614:KIQ196711 KSM196614:KSM196711 LCI196614:LCI196711 LME196614:LME196711 LWA196614:LWA196711 MFW196614:MFW196711 MPS196614:MPS196711 MZO196614:MZO196711 NJK196614:NJK196711 NTG196614:NTG196711 ODC196614:ODC196711 OMY196614:OMY196711 OWU196614:OWU196711 PGQ196614:PGQ196711 PQM196614:PQM196711 QAI196614:QAI196711 QKE196614:QKE196711 QUA196614:QUA196711 RDW196614:RDW196711 RNS196614:RNS196711 RXO196614:RXO196711 SHK196614:SHK196711 SRG196614:SRG196711 TBC196614:TBC196711 TKY196614:TKY196711 TUU196614:TUU196711 UEQ196614:UEQ196711 UOM196614:UOM196711 UYI196614:UYI196711 VIE196614:VIE196711 VSA196614:VSA196711 WBW196614:WBW196711 WLS196614:WLS196711 WVO196614:WVO196711 G262150:G262247 JC262150:JC262247 SY262150:SY262247 ACU262150:ACU262247 AMQ262150:AMQ262247 AWM262150:AWM262247 BGI262150:BGI262247 BQE262150:BQE262247 CAA262150:CAA262247 CJW262150:CJW262247 CTS262150:CTS262247 DDO262150:DDO262247 DNK262150:DNK262247 DXG262150:DXG262247 EHC262150:EHC262247 EQY262150:EQY262247 FAU262150:FAU262247 FKQ262150:FKQ262247 FUM262150:FUM262247 GEI262150:GEI262247 GOE262150:GOE262247 GYA262150:GYA262247 HHW262150:HHW262247 HRS262150:HRS262247 IBO262150:IBO262247 ILK262150:ILK262247 IVG262150:IVG262247 JFC262150:JFC262247 JOY262150:JOY262247 JYU262150:JYU262247 KIQ262150:KIQ262247 KSM262150:KSM262247 LCI262150:LCI262247 LME262150:LME262247 LWA262150:LWA262247 MFW262150:MFW262247 MPS262150:MPS262247 MZO262150:MZO262247 NJK262150:NJK262247 NTG262150:NTG262247 ODC262150:ODC262247 OMY262150:OMY262247 OWU262150:OWU262247 PGQ262150:PGQ262247 PQM262150:PQM262247 QAI262150:QAI262247 QKE262150:QKE262247 QUA262150:QUA262247 RDW262150:RDW262247 RNS262150:RNS262247 RXO262150:RXO262247 SHK262150:SHK262247 SRG262150:SRG262247 TBC262150:TBC262247 TKY262150:TKY262247 TUU262150:TUU262247 UEQ262150:UEQ262247 UOM262150:UOM262247 UYI262150:UYI262247 VIE262150:VIE262247 VSA262150:VSA262247 WBW262150:WBW262247 WLS262150:WLS262247 WVO262150:WVO262247 G327686:G327783 JC327686:JC327783 SY327686:SY327783 ACU327686:ACU327783 AMQ327686:AMQ327783 AWM327686:AWM327783 BGI327686:BGI327783 BQE327686:BQE327783 CAA327686:CAA327783 CJW327686:CJW327783 CTS327686:CTS327783 DDO327686:DDO327783 DNK327686:DNK327783 DXG327686:DXG327783 EHC327686:EHC327783 EQY327686:EQY327783 FAU327686:FAU327783 FKQ327686:FKQ327783 FUM327686:FUM327783 GEI327686:GEI327783 GOE327686:GOE327783 GYA327686:GYA327783 HHW327686:HHW327783 HRS327686:HRS327783 IBO327686:IBO327783 ILK327686:ILK327783 IVG327686:IVG327783 JFC327686:JFC327783 JOY327686:JOY327783 JYU327686:JYU327783 KIQ327686:KIQ327783 KSM327686:KSM327783 LCI327686:LCI327783 LME327686:LME327783 LWA327686:LWA327783 MFW327686:MFW327783 MPS327686:MPS327783 MZO327686:MZO327783 NJK327686:NJK327783 NTG327686:NTG327783 ODC327686:ODC327783 OMY327686:OMY327783 OWU327686:OWU327783 PGQ327686:PGQ327783 PQM327686:PQM327783 QAI327686:QAI327783 QKE327686:QKE327783 QUA327686:QUA327783 RDW327686:RDW327783 RNS327686:RNS327783 RXO327686:RXO327783 SHK327686:SHK327783 SRG327686:SRG327783 TBC327686:TBC327783 TKY327686:TKY327783 TUU327686:TUU327783 UEQ327686:UEQ327783 UOM327686:UOM327783 UYI327686:UYI327783 VIE327686:VIE327783 VSA327686:VSA327783 WBW327686:WBW327783 WLS327686:WLS327783 WVO327686:WVO327783 G393222:G393319 JC393222:JC393319 SY393222:SY393319 ACU393222:ACU393319 AMQ393222:AMQ393319 AWM393222:AWM393319 BGI393222:BGI393319 BQE393222:BQE393319 CAA393222:CAA393319 CJW393222:CJW393319 CTS393222:CTS393319 DDO393222:DDO393319 DNK393222:DNK393319 DXG393222:DXG393319 EHC393222:EHC393319 EQY393222:EQY393319 FAU393222:FAU393319 FKQ393222:FKQ393319 FUM393222:FUM393319 GEI393222:GEI393319 GOE393222:GOE393319 GYA393222:GYA393319 HHW393222:HHW393319 HRS393222:HRS393319 IBO393222:IBO393319 ILK393222:ILK393319 IVG393222:IVG393319 JFC393222:JFC393319 JOY393222:JOY393319 JYU393222:JYU393319 KIQ393222:KIQ393319 KSM393222:KSM393319 LCI393222:LCI393319 LME393222:LME393319 LWA393222:LWA393319 MFW393222:MFW393319 MPS393222:MPS393319 MZO393222:MZO393319 NJK393222:NJK393319 NTG393222:NTG393319 ODC393222:ODC393319 OMY393222:OMY393319 OWU393222:OWU393319 PGQ393222:PGQ393319 PQM393222:PQM393319 QAI393222:QAI393319 QKE393222:QKE393319 QUA393222:QUA393319 RDW393222:RDW393319 RNS393222:RNS393319 RXO393222:RXO393319 SHK393222:SHK393319 SRG393222:SRG393319 TBC393222:TBC393319 TKY393222:TKY393319 TUU393222:TUU393319 UEQ393222:UEQ393319 UOM393222:UOM393319 UYI393222:UYI393319 VIE393222:VIE393319 VSA393222:VSA393319 WBW393222:WBW393319 WLS393222:WLS393319 WVO393222:WVO393319 G458758:G458855 JC458758:JC458855 SY458758:SY458855 ACU458758:ACU458855 AMQ458758:AMQ458855 AWM458758:AWM458855 BGI458758:BGI458855 BQE458758:BQE458855 CAA458758:CAA458855 CJW458758:CJW458855 CTS458758:CTS458855 DDO458758:DDO458855 DNK458758:DNK458855 DXG458758:DXG458855 EHC458758:EHC458855 EQY458758:EQY458855 FAU458758:FAU458855 FKQ458758:FKQ458855 FUM458758:FUM458855 GEI458758:GEI458855 GOE458758:GOE458855 GYA458758:GYA458855 HHW458758:HHW458855 HRS458758:HRS458855 IBO458758:IBO458855 ILK458758:ILK458855 IVG458758:IVG458855 JFC458758:JFC458855 JOY458758:JOY458855 JYU458758:JYU458855 KIQ458758:KIQ458855 KSM458758:KSM458855 LCI458758:LCI458855 LME458758:LME458855 LWA458758:LWA458855 MFW458758:MFW458855 MPS458758:MPS458855 MZO458758:MZO458855 NJK458758:NJK458855 NTG458758:NTG458855 ODC458758:ODC458855 OMY458758:OMY458855 OWU458758:OWU458855 PGQ458758:PGQ458855 PQM458758:PQM458855 QAI458758:QAI458855 QKE458758:QKE458855 QUA458758:QUA458855 RDW458758:RDW458855 RNS458758:RNS458855 RXO458758:RXO458855 SHK458758:SHK458855 SRG458758:SRG458855 TBC458758:TBC458855 TKY458758:TKY458855 TUU458758:TUU458855 UEQ458758:UEQ458855 UOM458758:UOM458855 UYI458758:UYI458855 VIE458758:VIE458855 VSA458758:VSA458855 WBW458758:WBW458855 WLS458758:WLS458855 WVO458758:WVO458855 G524294:G524391 JC524294:JC524391 SY524294:SY524391 ACU524294:ACU524391 AMQ524294:AMQ524391 AWM524294:AWM524391 BGI524294:BGI524391 BQE524294:BQE524391 CAA524294:CAA524391 CJW524294:CJW524391 CTS524294:CTS524391 DDO524294:DDO524391 DNK524294:DNK524391 DXG524294:DXG524391 EHC524294:EHC524391 EQY524294:EQY524391 FAU524294:FAU524391 FKQ524294:FKQ524391 FUM524294:FUM524391 GEI524294:GEI524391 GOE524294:GOE524391 GYA524294:GYA524391 HHW524294:HHW524391 HRS524294:HRS524391 IBO524294:IBO524391 ILK524294:ILK524391 IVG524294:IVG524391 JFC524294:JFC524391 JOY524294:JOY524391 JYU524294:JYU524391 KIQ524294:KIQ524391 KSM524294:KSM524391 LCI524294:LCI524391 LME524294:LME524391 LWA524294:LWA524391 MFW524294:MFW524391 MPS524294:MPS524391 MZO524294:MZO524391 NJK524294:NJK524391 NTG524294:NTG524391 ODC524294:ODC524391 OMY524294:OMY524391 OWU524294:OWU524391 PGQ524294:PGQ524391 PQM524294:PQM524391 QAI524294:QAI524391 QKE524294:QKE524391 QUA524294:QUA524391 RDW524294:RDW524391 RNS524294:RNS524391 RXO524294:RXO524391 SHK524294:SHK524391 SRG524294:SRG524391 TBC524294:TBC524391 TKY524294:TKY524391 TUU524294:TUU524391 UEQ524294:UEQ524391 UOM524294:UOM524391 UYI524294:UYI524391 VIE524294:VIE524391 VSA524294:VSA524391 WBW524294:WBW524391 WLS524294:WLS524391 WVO524294:WVO524391 G589830:G589927 JC589830:JC589927 SY589830:SY589927 ACU589830:ACU589927 AMQ589830:AMQ589927 AWM589830:AWM589927 BGI589830:BGI589927 BQE589830:BQE589927 CAA589830:CAA589927 CJW589830:CJW589927 CTS589830:CTS589927 DDO589830:DDO589927 DNK589830:DNK589927 DXG589830:DXG589927 EHC589830:EHC589927 EQY589830:EQY589927 FAU589830:FAU589927 FKQ589830:FKQ589927 FUM589830:FUM589927 GEI589830:GEI589927 GOE589830:GOE589927 GYA589830:GYA589927 HHW589830:HHW589927 HRS589830:HRS589927 IBO589830:IBO589927 ILK589830:ILK589927 IVG589830:IVG589927 JFC589830:JFC589927 JOY589830:JOY589927 JYU589830:JYU589927 KIQ589830:KIQ589927 KSM589830:KSM589927 LCI589830:LCI589927 LME589830:LME589927 LWA589830:LWA589927 MFW589830:MFW589927 MPS589830:MPS589927 MZO589830:MZO589927 NJK589830:NJK589927 NTG589830:NTG589927 ODC589830:ODC589927 OMY589830:OMY589927 OWU589830:OWU589927 PGQ589830:PGQ589927 PQM589830:PQM589927 QAI589830:QAI589927 QKE589830:QKE589927 QUA589830:QUA589927 RDW589830:RDW589927 RNS589830:RNS589927 RXO589830:RXO589927 SHK589830:SHK589927 SRG589830:SRG589927 TBC589830:TBC589927 TKY589830:TKY589927 TUU589830:TUU589927 UEQ589830:UEQ589927 UOM589830:UOM589927 UYI589830:UYI589927 VIE589830:VIE589927 VSA589830:VSA589927 WBW589830:WBW589927 WLS589830:WLS589927 WVO589830:WVO589927 G655366:G655463 JC655366:JC655463 SY655366:SY655463 ACU655366:ACU655463 AMQ655366:AMQ655463 AWM655366:AWM655463 BGI655366:BGI655463 BQE655366:BQE655463 CAA655366:CAA655463 CJW655366:CJW655463 CTS655366:CTS655463 DDO655366:DDO655463 DNK655366:DNK655463 DXG655366:DXG655463 EHC655366:EHC655463 EQY655366:EQY655463 FAU655366:FAU655463 FKQ655366:FKQ655463 FUM655366:FUM655463 GEI655366:GEI655463 GOE655366:GOE655463 GYA655366:GYA655463 HHW655366:HHW655463 HRS655366:HRS655463 IBO655366:IBO655463 ILK655366:ILK655463 IVG655366:IVG655463 JFC655366:JFC655463 JOY655366:JOY655463 JYU655366:JYU655463 KIQ655366:KIQ655463 KSM655366:KSM655463 LCI655366:LCI655463 LME655366:LME655463 LWA655366:LWA655463 MFW655366:MFW655463 MPS655366:MPS655463 MZO655366:MZO655463 NJK655366:NJK655463 NTG655366:NTG655463 ODC655366:ODC655463 OMY655366:OMY655463 OWU655366:OWU655463 PGQ655366:PGQ655463 PQM655366:PQM655463 QAI655366:QAI655463 QKE655366:QKE655463 QUA655366:QUA655463 RDW655366:RDW655463 RNS655366:RNS655463 RXO655366:RXO655463 SHK655366:SHK655463 SRG655366:SRG655463 TBC655366:TBC655463 TKY655366:TKY655463 TUU655366:TUU655463 UEQ655366:UEQ655463 UOM655366:UOM655463 UYI655366:UYI655463 VIE655366:VIE655463 VSA655366:VSA655463 WBW655366:WBW655463 WLS655366:WLS655463 WVO655366:WVO655463 G720902:G720999 JC720902:JC720999 SY720902:SY720999 ACU720902:ACU720999 AMQ720902:AMQ720999 AWM720902:AWM720999 BGI720902:BGI720999 BQE720902:BQE720999 CAA720902:CAA720999 CJW720902:CJW720999 CTS720902:CTS720999 DDO720902:DDO720999 DNK720902:DNK720999 DXG720902:DXG720999 EHC720902:EHC720999 EQY720902:EQY720999 FAU720902:FAU720999 FKQ720902:FKQ720999 FUM720902:FUM720999 GEI720902:GEI720999 GOE720902:GOE720999 GYA720902:GYA720999 HHW720902:HHW720999 HRS720902:HRS720999 IBO720902:IBO720999 ILK720902:ILK720999 IVG720902:IVG720999 JFC720902:JFC720999 JOY720902:JOY720999 JYU720902:JYU720999 KIQ720902:KIQ720999 KSM720902:KSM720999 LCI720902:LCI720999 LME720902:LME720999 LWA720902:LWA720999 MFW720902:MFW720999 MPS720902:MPS720999 MZO720902:MZO720999 NJK720902:NJK720999 NTG720902:NTG720999 ODC720902:ODC720999 OMY720902:OMY720999 OWU720902:OWU720999 PGQ720902:PGQ720999 PQM720902:PQM720999 QAI720902:QAI720999 QKE720902:QKE720999 QUA720902:QUA720999 RDW720902:RDW720999 RNS720902:RNS720999 RXO720902:RXO720999 SHK720902:SHK720999 SRG720902:SRG720999 TBC720902:TBC720999 TKY720902:TKY720999 TUU720902:TUU720999 UEQ720902:UEQ720999 UOM720902:UOM720999 UYI720902:UYI720999 VIE720902:VIE720999 VSA720902:VSA720999 WBW720902:WBW720999 WLS720902:WLS720999 WVO720902:WVO720999 G786438:G786535 JC786438:JC786535 SY786438:SY786535 ACU786438:ACU786535 AMQ786438:AMQ786535 AWM786438:AWM786535 BGI786438:BGI786535 BQE786438:BQE786535 CAA786438:CAA786535 CJW786438:CJW786535 CTS786438:CTS786535 DDO786438:DDO786535 DNK786438:DNK786535 DXG786438:DXG786535 EHC786438:EHC786535 EQY786438:EQY786535 FAU786438:FAU786535 FKQ786438:FKQ786535 FUM786438:FUM786535 GEI786438:GEI786535 GOE786438:GOE786535 GYA786438:GYA786535 HHW786438:HHW786535 HRS786438:HRS786535 IBO786438:IBO786535 ILK786438:ILK786535 IVG786438:IVG786535 JFC786438:JFC786535 JOY786438:JOY786535 JYU786438:JYU786535 KIQ786438:KIQ786535 KSM786438:KSM786535 LCI786438:LCI786535 LME786438:LME786535 LWA786438:LWA786535 MFW786438:MFW786535 MPS786438:MPS786535 MZO786438:MZO786535 NJK786438:NJK786535 NTG786438:NTG786535 ODC786438:ODC786535 OMY786438:OMY786535 OWU786438:OWU786535 PGQ786438:PGQ786535 PQM786438:PQM786535 QAI786438:QAI786535 QKE786438:QKE786535 QUA786438:QUA786535 RDW786438:RDW786535 RNS786438:RNS786535 RXO786438:RXO786535 SHK786438:SHK786535 SRG786438:SRG786535 TBC786438:TBC786535 TKY786438:TKY786535 TUU786438:TUU786535 UEQ786438:UEQ786535 UOM786438:UOM786535 UYI786438:UYI786535 VIE786438:VIE786535 VSA786438:VSA786535 WBW786438:WBW786535 WLS786438:WLS786535 WVO786438:WVO786535 G851974:G852071 JC851974:JC852071 SY851974:SY852071 ACU851974:ACU852071 AMQ851974:AMQ852071 AWM851974:AWM852071 BGI851974:BGI852071 BQE851974:BQE852071 CAA851974:CAA852071 CJW851974:CJW852071 CTS851974:CTS852071 DDO851974:DDO852071 DNK851974:DNK852071 DXG851974:DXG852071 EHC851974:EHC852071 EQY851974:EQY852071 FAU851974:FAU852071 FKQ851974:FKQ852071 FUM851974:FUM852071 GEI851974:GEI852071 GOE851974:GOE852071 GYA851974:GYA852071 HHW851974:HHW852071 HRS851974:HRS852071 IBO851974:IBO852071 ILK851974:ILK852071 IVG851974:IVG852071 JFC851974:JFC852071 JOY851974:JOY852071 JYU851974:JYU852071 KIQ851974:KIQ852071 KSM851974:KSM852071 LCI851974:LCI852071 LME851974:LME852071 LWA851974:LWA852071 MFW851974:MFW852071 MPS851974:MPS852071 MZO851974:MZO852071 NJK851974:NJK852071 NTG851974:NTG852071 ODC851974:ODC852071 OMY851974:OMY852071 OWU851974:OWU852071 PGQ851974:PGQ852071 PQM851974:PQM852071 QAI851974:QAI852071 QKE851974:QKE852071 QUA851974:QUA852071 RDW851974:RDW852071 RNS851974:RNS852071 RXO851974:RXO852071 SHK851974:SHK852071 SRG851974:SRG852071 TBC851974:TBC852071 TKY851974:TKY852071 TUU851974:TUU852071 UEQ851974:UEQ852071 UOM851974:UOM852071 UYI851974:UYI852071 VIE851974:VIE852071 VSA851974:VSA852071 WBW851974:WBW852071 WLS851974:WLS852071 WVO851974:WVO852071 G917510:G917607 JC917510:JC917607 SY917510:SY917607 ACU917510:ACU917607 AMQ917510:AMQ917607 AWM917510:AWM917607 BGI917510:BGI917607 BQE917510:BQE917607 CAA917510:CAA917607 CJW917510:CJW917607 CTS917510:CTS917607 DDO917510:DDO917607 DNK917510:DNK917607 DXG917510:DXG917607 EHC917510:EHC917607 EQY917510:EQY917607 FAU917510:FAU917607 FKQ917510:FKQ917607 FUM917510:FUM917607 GEI917510:GEI917607 GOE917510:GOE917607 GYA917510:GYA917607 HHW917510:HHW917607 HRS917510:HRS917607 IBO917510:IBO917607 ILK917510:ILK917607 IVG917510:IVG917607 JFC917510:JFC917607 JOY917510:JOY917607 JYU917510:JYU917607 KIQ917510:KIQ917607 KSM917510:KSM917607 LCI917510:LCI917607 LME917510:LME917607 LWA917510:LWA917607 MFW917510:MFW917607 MPS917510:MPS917607 MZO917510:MZO917607 NJK917510:NJK917607 NTG917510:NTG917607 ODC917510:ODC917607 OMY917510:OMY917607 OWU917510:OWU917607 PGQ917510:PGQ917607 PQM917510:PQM917607 QAI917510:QAI917607 QKE917510:QKE917607 QUA917510:QUA917607 RDW917510:RDW917607 RNS917510:RNS917607 RXO917510:RXO917607 SHK917510:SHK917607 SRG917510:SRG917607 TBC917510:TBC917607 TKY917510:TKY917607 TUU917510:TUU917607 UEQ917510:UEQ917607 UOM917510:UOM917607 UYI917510:UYI917607 VIE917510:VIE917607 VSA917510:VSA917607 WBW917510:WBW917607 WLS917510:WLS917607 WVO917510:WVO917607 G983046:G983143 JC983046:JC983143 SY983046:SY983143 ACU983046:ACU983143 AMQ983046:AMQ983143 AWM983046:AWM983143 BGI983046:BGI983143 BQE983046:BQE983143 CAA983046:CAA983143 CJW983046:CJW983143 CTS983046:CTS983143 DDO983046:DDO983143 DNK983046:DNK983143 DXG983046:DXG983143 EHC983046:EHC983143 EQY983046:EQY983143 FAU983046:FAU983143 FKQ983046:FKQ983143 FUM983046:FUM983143 GEI983046:GEI983143 GOE983046:GOE983143 GYA983046:GYA983143 HHW983046:HHW983143 HRS983046:HRS983143 IBO983046:IBO983143 ILK983046:ILK983143 IVG983046:IVG983143 JFC983046:JFC983143 JOY983046:JOY983143 JYU983046:JYU983143 KIQ983046:KIQ983143 KSM983046:KSM983143 LCI983046:LCI983143 LME983046:LME983143 LWA983046:LWA983143 MFW983046:MFW983143 MPS983046:MPS983143 MZO983046:MZO983143 NJK983046:NJK983143 NTG983046:NTG983143 ODC983046:ODC983143 OMY983046:OMY983143 OWU983046:OWU983143 PGQ983046:PGQ983143 PQM983046:PQM983143 QAI983046:QAI983143 QKE983046:QKE983143 QUA983046:QUA983143 RDW983046:RDW983143 RNS983046:RNS983143 RXO983046:RXO983143 SHK983046:SHK983143 SRG983046:SRG983143 TBC983046:TBC983143 TKY983046:TKY983143 TUU983046:TUU983143 UEQ983046:UEQ983143 UOM983046:UOM983143 UYI983046:UYI983143 VIE983046:VIE983143 VSA983046:VSA983143 WBW983046:WBW983143 WLS983046:WLS983143 WVO983046:WVO983143" xr:uid="{00000000-0002-0000-0A00-000000000000}">
      <formula1>"H, M, L, NA,h,m,l,na"</formula1>
    </dataValidation>
  </dataValidations>
  <pageMargins left="0.7" right="0.7" top="0.75" bottom="0.75" header="0.3" footer="0.3"/>
  <pageSetup scale="1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25"/>
  <sheetViews>
    <sheetView workbookViewId="0"/>
  </sheetViews>
  <sheetFormatPr defaultRowHeight="12.75" customHeight="1"/>
  <cols>
    <col min="1" max="1" width="5.7265625" customWidth="1"/>
    <col min="2" max="2" width="7.7265625" customWidth="1"/>
    <col min="3" max="3" width="35.7265625" customWidth="1"/>
    <col min="4" max="6" width="25.7265625" customWidth="1"/>
    <col min="7" max="8" width="10.7265625" customWidth="1"/>
    <col min="9" max="9" width="40.7265625" customWidth="1"/>
    <col min="257" max="257" width="5.7265625" customWidth="1"/>
    <col min="258" max="258" width="7.7265625" customWidth="1"/>
    <col min="259" max="259" width="35.7265625" customWidth="1"/>
    <col min="260" max="262" width="25.7265625" customWidth="1"/>
    <col min="263" max="264" width="10.7265625" customWidth="1"/>
    <col min="265" max="265" width="40.7265625" customWidth="1"/>
    <col min="513" max="513" width="5.7265625" customWidth="1"/>
    <col min="514" max="514" width="7.7265625" customWidth="1"/>
    <col min="515" max="515" width="35.7265625" customWidth="1"/>
    <col min="516" max="518" width="25.7265625" customWidth="1"/>
    <col min="519" max="520" width="10.7265625" customWidth="1"/>
    <col min="521" max="521" width="40.7265625" customWidth="1"/>
    <col min="769" max="769" width="5.7265625" customWidth="1"/>
    <col min="770" max="770" width="7.7265625" customWidth="1"/>
    <col min="771" max="771" width="35.7265625" customWidth="1"/>
    <col min="772" max="774" width="25.7265625" customWidth="1"/>
    <col min="775" max="776" width="10.7265625" customWidth="1"/>
    <col min="777" max="777" width="40.7265625" customWidth="1"/>
    <col min="1025" max="1025" width="5.7265625" customWidth="1"/>
    <col min="1026" max="1026" width="7.7265625" customWidth="1"/>
    <col min="1027" max="1027" width="35.7265625" customWidth="1"/>
    <col min="1028" max="1030" width="25.7265625" customWidth="1"/>
    <col min="1031" max="1032" width="10.7265625" customWidth="1"/>
    <col min="1033" max="1033" width="40.7265625" customWidth="1"/>
    <col min="1281" max="1281" width="5.7265625" customWidth="1"/>
    <col min="1282" max="1282" width="7.7265625" customWidth="1"/>
    <col min="1283" max="1283" width="35.7265625" customWidth="1"/>
    <col min="1284" max="1286" width="25.7265625" customWidth="1"/>
    <col min="1287" max="1288" width="10.7265625" customWidth="1"/>
    <col min="1289" max="1289" width="40.7265625" customWidth="1"/>
    <col min="1537" max="1537" width="5.7265625" customWidth="1"/>
    <col min="1538" max="1538" width="7.7265625" customWidth="1"/>
    <col min="1539" max="1539" width="35.7265625" customWidth="1"/>
    <col min="1540" max="1542" width="25.7265625" customWidth="1"/>
    <col min="1543" max="1544" width="10.7265625" customWidth="1"/>
    <col min="1545" max="1545" width="40.7265625" customWidth="1"/>
    <col min="1793" max="1793" width="5.7265625" customWidth="1"/>
    <col min="1794" max="1794" width="7.7265625" customWidth="1"/>
    <col min="1795" max="1795" width="35.7265625" customWidth="1"/>
    <col min="1796" max="1798" width="25.7265625" customWidth="1"/>
    <col min="1799" max="1800" width="10.7265625" customWidth="1"/>
    <col min="1801" max="1801" width="40.7265625" customWidth="1"/>
    <col min="2049" max="2049" width="5.7265625" customWidth="1"/>
    <col min="2050" max="2050" width="7.7265625" customWidth="1"/>
    <col min="2051" max="2051" width="35.7265625" customWidth="1"/>
    <col min="2052" max="2054" width="25.7265625" customWidth="1"/>
    <col min="2055" max="2056" width="10.7265625" customWidth="1"/>
    <col min="2057" max="2057" width="40.7265625" customWidth="1"/>
    <col min="2305" max="2305" width="5.7265625" customWidth="1"/>
    <col min="2306" max="2306" width="7.7265625" customWidth="1"/>
    <col min="2307" max="2307" width="35.7265625" customWidth="1"/>
    <col min="2308" max="2310" width="25.7265625" customWidth="1"/>
    <col min="2311" max="2312" width="10.7265625" customWidth="1"/>
    <col min="2313" max="2313" width="40.7265625" customWidth="1"/>
    <col min="2561" max="2561" width="5.7265625" customWidth="1"/>
    <col min="2562" max="2562" width="7.7265625" customWidth="1"/>
    <col min="2563" max="2563" width="35.7265625" customWidth="1"/>
    <col min="2564" max="2566" width="25.7265625" customWidth="1"/>
    <col min="2567" max="2568" width="10.7265625" customWidth="1"/>
    <col min="2569" max="2569" width="40.7265625" customWidth="1"/>
    <col min="2817" max="2817" width="5.7265625" customWidth="1"/>
    <col min="2818" max="2818" width="7.7265625" customWidth="1"/>
    <col min="2819" max="2819" width="35.7265625" customWidth="1"/>
    <col min="2820" max="2822" width="25.7265625" customWidth="1"/>
    <col min="2823" max="2824" width="10.7265625" customWidth="1"/>
    <col min="2825" max="2825" width="40.7265625" customWidth="1"/>
    <col min="3073" max="3073" width="5.7265625" customWidth="1"/>
    <col min="3074" max="3074" width="7.7265625" customWidth="1"/>
    <col min="3075" max="3075" width="35.7265625" customWidth="1"/>
    <col min="3076" max="3078" width="25.7265625" customWidth="1"/>
    <col min="3079" max="3080" width="10.7265625" customWidth="1"/>
    <col min="3081" max="3081" width="40.7265625" customWidth="1"/>
    <col min="3329" max="3329" width="5.7265625" customWidth="1"/>
    <col min="3330" max="3330" width="7.7265625" customWidth="1"/>
    <col min="3331" max="3331" width="35.7265625" customWidth="1"/>
    <col min="3332" max="3334" width="25.7265625" customWidth="1"/>
    <col min="3335" max="3336" width="10.7265625" customWidth="1"/>
    <col min="3337" max="3337" width="40.7265625" customWidth="1"/>
    <col min="3585" max="3585" width="5.7265625" customWidth="1"/>
    <col min="3586" max="3586" width="7.7265625" customWidth="1"/>
    <col min="3587" max="3587" width="35.7265625" customWidth="1"/>
    <col min="3588" max="3590" width="25.7265625" customWidth="1"/>
    <col min="3591" max="3592" width="10.7265625" customWidth="1"/>
    <col min="3593" max="3593" width="40.7265625" customWidth="1"/>
    <col min="3841" max="3841" width="5.7265625" customWidth="1"/>
    <col min="3842" max="3842" width="7.7265625" customWidth="1"/>
    <col min="3843" max="3843" width="35.7265625" customWidth="1"/>
    <col min="3844" max="3846" width="25.7265625" customWidth="1"/>
    <col min="3847" max="3848" width="10.7265625" customWidth="1"/>
    <col min="3849" max="3849" width="40.7265625" customWidth="1"/>
    <col min="4097" max="4097" width="5.7265625" customWidth="1"/>
    <col min="4098" max="4098" width="7.7265625" customWidth="1"/>
    <col min="4099" max="4099" width="35.7265625" customWidth="1"/>
    <col min="4100" max="4102" width="25.7265625" customWidth="1"/>
    <col min="4103" max="4104" width="10.7265625" customWidth="1"/>
    <col min="4105" max="4105" width="40.7265625" customWidth="1"/>
    <col min="4353" max="4353" width="5.7265625" customWidth="1"/>
    <col min="4354" max="4354" width="7.7265625" customWidth="1"/>
    <col min="4355" max="4355" width="35.7265625" customWidth="1"/>
    <col min="4356" max="4358" width="25.7265625" customWidth="1"/>
    <col min="4359" max="4360" width="10.7265625" customWidth="1"/>
    <col min="4361" max="4361" width="40.7265625" customWidth="1"/>
    <col min="4609" max="4609" width="5.7265625" customWidth="1"/>
    <col min="4610" max="4610" width="7.7265625" customWidth="1"/>
    <col min="4611" max="4611" width="35.7265625" customWidth="1"/>
    <col min="4612" max="4614" width="25.7265625" customWidth="1"/>
    <col min="4615" max="4616" width="10.7265625" customWidth="1"/>
    <col min="4617" max="4617" width="40.7265625" customWidth="1"/>
    <col min="4865" max="4865" width="5.7265625" customWidth="1"/>
    <col min="4866" max="4866" width="7.7265625" customWidth="1"/>
    <col min="4867" max="4867" width="35.7265625" customWidth="1"/>
    <col min="4868" max="4870" width="25.7265625" customWidth="1"/>
    <col min="4871" max="4872" width="10.7265625" customWidth="1"/>
    <col min="4873" max="4873" width="40.7265625" customWidth="1"/>
    <col min="5121" max="5121" width="5.7265625" customWidth="1"/>
    <col min="5122" max="5122" width="7.7265625" customWidth="1"/>
    <col min="5123" max="5123" width="35.7265625" customWidth="1"/>
    <col min="5124" max="5126" width="25.7265625" customWidth="1"/>
    <col min="5127" max="5128" width="10.7265625" customWidth="1"/>
    <col min="5129" max="5129" width="40.7265625" customWidth="1"/>
    <col min="5377" max="5377" width="5.7265625" customWidth="1"/>
    <col min="5378" max="5378" width="7.7265625" customWidth="1"/>
    <col min="5379" max="5379" width="35.7265625" customWidth="1"/>
    <col min="5380" max="5382" width="25.7265625" customWidth="1"/>
    <col min="5383" max="5384" width="10.7265625" customWidth="1"/>
    <col min="5385" max="5385" width="40.7265625" customWidth="1"/>
    <col min="5633" max="5633" width="5.7265625" customWidth="1"/>
    <col min="5634" max="5634" width="7.7265625" customWidth="1"/>
    <col min="5635" max="5635" width="35.7265625" customWidth="1"/>
    <col min="5636" max="5638" width="25.7265625" customWidth="1"/>
    <col min="5639" max="5640" width="10.7265625" customWidth="1"/>
    <col min="5641" max="5641" width="40.7265625" customWidth="1"/>
    <col min="5889" max="5889" width="5.7265625" customWidth="1"/>
    <col min="5890" max="5890" width="7.7265625" customWidth="1"/>
    <col min="5891" max="5891" width="35.7265625" customWidth="1"/>
    <col min="5892" max="5894" width="25.7265625" customWidth="1"/>
    <col min="5895" max="5896" width="10.7265625" customWidth="1"/>
    <col min="5897" max="5897" width="40.7265625" customWidth="1"/>
    <col min="6145" max="6145" width="5.7265625" customWidth="1"/>
    <col min="6146" max="6146" width="7.7265625" customWidth="1"/>
    <col min="6147" max="6147" width="35.7265625" customWidth="1"/>
    <col min="6148" max="6150" width="25.7265625" customWidth="1"/>
    <col min="6151" max="6152" width="10.7265625" customWidth="1"/>
    <col min="6153" max="6153" width="40.7265625" customWidth="1"/>
    <col min="6401" max="6401" width="5.7265625" customWidth="1"/>
    <col min="6402" max="6402" width="7.7265625" customWidth="1"/>
    <col min="6403" max="6403" width="35.7265625" customWidth="1"/>
    <col min="6404" max="6406" width="25.7265625" customWidth="1"/>
    <col min="6407" max="6408" width="10.7265625" customWidth="1"/>
    <col min="6409" max="6409" width="40.7265625" customWidth="1"/>
    <col min="6657" max="6657" width="5.7265625" customWidth="1"/>
    <col min="6658" max="6658" width="7.7265625" customWidth="1"/>
    <col min="6659" max="6659" width="35.7265625" customWidth="1"/>
    <col min="6660" max="6662" width="25.7265625" customWidth="1"/>
    <col min="6663" max="6664" width="10.7265625" customWidth="1"/>
    <col min="6665" max="6665" width="40.7265625" customWidth="1"/>
    <col min="6913" max="6913" width="5.7265625" customWidth="1"/>
    <col min="6914" max="6914" width="7.7265625" customWidth="1"/>
    <col min="6915" max="6915" width="35.7265625" customWidth="1"/>
    <col min="6916" max="6918" width="25.7265625" customWidth="1"/>
    <col min="6919" max="6920" width="10.7265625" customWidth="1"/>
    <col min="6921" max="6921" width="40.7265625" customWidth="1"/>
    <col min="7169" max="7169" width="5.7265625" customWidth="1"/>
    <col min="7170" max="7170" width="7.7265625" customWidth="1"/>
    <col min="7171" max="7171" width="35.7265625" customWidth="1"/>
    <col min="7172" max="7174" width="25.7265625" customWidth="1"/>
    <col min="7175" max="7176" width="10.7265625" customWidth="1"/>
    <col min="7177" max="7177" width="40.7265625" customWidth="1"/>
    <col min="7425" max="7425" width="5.7265625" customWidth="1"/>
    <col min="7426" max="7426" width="7.7265625" customWidth="1"/>
    <col min="7427" max="7427" width="35.7265625" customWidth="1"/>
    <col min="7428" max="7430" width="25.7265625" customWidth="1"/>
    <col min="7431" max="7432" width="10.7265625" customWidth="1"/>
    <col min="7433" max="7433" width="40.7265625" customWidth="1"/>
    <col min="7681" max="7681" width="5.7265625" customWidth="1"/>
    <col min="7682" max="7682" width="7.7265625" customWidth="1"/>
    <col min="7683" max="7683" width="35.7265625" customWidth="1"/>
    <col min="7684" max="7686" width="25.7265625" customWidth="1"/>
    <col min="7687" max="7688" width="10.7265625" customWidth="1"/>
    <col min="7689" max="7689" width="40.7265625" customWidth="1"/>
    <col min="7937" max="7937" width="5.7265625" customWidth="1"/>
    <col min="7938" max="7938" width="7.7265625" customWidth="1"/>
    <col min="7939" max="7939" width="35.7265625" customWidth="1"/>
    <col min="7940" max="7942" width="25.7265625" customWidth="1"/>
    <col min="7943" max="7944" width="10.7265625" customWidth="1"/>
    <col min="7945" max="7945" width="40.7265625" customWidth="1"/>
    <col min="8193" max="8193" width="5.7265625" customWidth="1"/>
    <col min="8194" max="8194" width="7.7265625" customWidth="1"/>
    <col min="8195" max="8195" width="35.7265625" customWidth="1"/>
    <col min="8196" max="8198" width="25.7265625" customWidth="1"/>
    <col min="8199" max="8200" width="10.7265625" customWidth="1"/>
    <col min="8201" max="8201" width="40.7265625" customWidth="1"/>
    <col min="8449" max="8449" width="5.7265625" customWidth="1"/>
    <col min="8450" max="8450" width="7.7265625" customWidth="1"/>
    <col min="8451" max="8451" width="35.7265625" customWidth="1"/>
    <col min="8452" max="8454" width="25.7265625" customWidth="1"/>
    <col min="8455" max="8456" width="10.7265625" customWidth="1"/>
    <col min="8457" max="8457" width="40.7265625" customWidth="1"/>
    <col min="8705" max="8705" width="5.7265625" customWidth="1"/>
    <col min="8706" max="8706" width="7.7265625" customWidth="1"/>
    <col min="8707" max="8707" width="35.7265625" customWidth="1"/>
    <col min="8708" max="8710" width="25.7265625" customWidth="1"/>
    <col min="8711" max="8712" width="10.7265625" customWidth="1"/>
    <col min="8713" max="8713" width="40.7265625" customWidth="1"/>
    <col min="8961" max="8961" width="5.7265625" customWidth="1"/>
    <col min="8962" max="8962" width="7.7265625" customWidth="1"/>
    <col min="8963" max="8963" width="35.7265625" customWidth="1"/>
    <col min="8964" max="8966" width="25.7265625" customWidth="1"/>
    <col min="8967" max="8968" width="10.7265625" customWidth="1"/>
    <col min="8969" max="8969" width="40.7265625" customWidth="1"/>
    <col min="9217" max="9217" width="5.7265625" customWidth="1"/>
    <col min="9218" max="9218" width="7.7265625" customWidth="1"/>
    <col min="9219" max="9219" width="35.7265625" customWidth="1"/>
    <col min="9220" max="9222" width="25.7265625" customWidth="1"/>
    <col min="9223" max="9224" width="10.7265625" customWidth="1"/>
    <col min="9225" max="9225" width="40.7265625" customWidth="1"/>
    <col min="9473" max="9473" width="5.7265625" customWidth="1"/>
    <col min="9474" max="9474" width="7.7265625" customWidth="1"/>
    <col min="9475" max="9475" width="35.7265625" customWidth="1"/>
    <col min="9476" max="9478" width="25.7265625" customWidth="1"/>
    <col min="9479" max="9480" width="10.7265625" customWidth="1"/>
    <col min="9481" max="9481" width="40.7265625" customWidth="1"/>
    <col min="9729" max="9729" width="5.7265625" customWidth="1"/>
    <col min="9730" max="9730" width="7.7265625" customWidth="1"/>
    <col min="9731" max="9731" width="35.7265625" customWidth="1"/>
    <col min="9732" max="9734" width="25.7265625" customWidth="1"/>
    <col min="9735" max="9736" width="10.7265625" customWidth="1"/>
    <col min="9737" max="9737" width="40.7265625" customWidth="1"/>
    <col min="9985" max="9985" width="5.7265625" customWidth="1"/>
    <col min="9986" max="9986" width="7.7265625" customWidth="1"/>
    <col min="9987" max="9987" width="35.7265625" customWidth="1"/>
    <col min="9988" max="9990" width="25.7265625" customWidth="1"/>
    <col min="9991" max="9992" width="10.7265625" customWidth="1"/>
    <col min="9993" max="9993" width="40.7265625" customWidth="1"/>
    <col min="10241" max="10241" width="5.7265625" customWidth="1"/>
    <col min="10242" max="10242" width="7.7265625" customWidth="1"/>
    <col min="10243" max="10243" width="35.7265625" customWidth="1"/>
    <col min="10244" max="10246" width="25.7265625" customWidth="1"/>
    <col min="10247" max="10248" width="10.7265625" customWidth="1"/>
    <col min="10249" max="10249" width="40.7265625" customWidth="1"/>
    <col min="10497" max="10497" width="5.7265625" customWidth="1"/>
    <col min="10498" max="10498" width="7.7265625" customWidth="1"/>
    <col min="10499" max="10499" width="35.7265625" customWidth="1"/>
    <col min="10500" max="10502" width="25.7265625" customWidth="1"/>
    <col min="10503" max="10504" width="10.7265625" customWidth="1"/>
    <col min="10505" max="10505" width="40.7265625" customWidth="1"/>
    <col min="10753" max="10753" width="5.7265625" customWidth="1"/>
    <col min="10754" max="10754" width="7.7265625" customWidth="1"/>
    <col min="10755" max="10755" width="35.7265625" customWidth="1"/>
    <col min="10756" max="10758" width="25.7265625" customWidth="1"/>
    <col min="10759" max="10760" width="10.7265625" customWidth="1"/>
    <col min="10761" max="10761" width="40.7265625" customWidth="1"/>
    <col min="11009" max="11009" width="5.7265625" customWidth="1"/>
    <col min="11010" max="11010" width="7.7265625" customWidth="1"/>
    <col min="11011" max="11011" width="35.7265625" customWidth="1"/>
    <col min="11012" max="11014" width="25.7265625" customWidth="1"/>
    <col min="11015" max="11016" width="10.7265625" customWidth="1"/>
    <col min="11017" max="11017" width="40.7265625" customWidth="1"/>
    <col min="11265" max="11265" width="5.7265625" customWidth="1"/>
    <col min="11266" max="11266" width="7.7265625" customWidth="1"/>
    <col min="11267" max="11267" width="35.7265625" customWidth="1"/>
    <col min="11268" max="11270" width="25.7265625" customWidth="1"/>
    <col min="11271" max="11272" width="10.7265625" customWidth="1"/>
    <col min="11273" max="11273" width="40.7265625" customWidth="1"/>
    <col min="11521" max="11521" width="5.7265625" customWidth="1"/>
    <col min="11522" max="11522" width="7.7265625" customWidth="1"/>
    <col min="11523" max="11523" width="35.7265625" customWidth="1"/>
    <col min="11524" max="11526" width="25.7265625" customWidth="1"/>
    <col min="11527" max="11528" width="10.7265625" customWidth="1"/>
    <col min="11529" max="11529" width="40.7265625" customWidth="1"/>
    <col min="11777" max="11777" width="5.7265625" customWidth="1"/>
    <col min="11778" max="11778" width="7.7265625" customWidth="1"/>
    <col min="11779" max="11779" width="35.7265625" customWidth="1"/>
    <col min="11780" max="11782" width="25.7265625" customWidth="1"/>
    <col min="11783" max="11784" width="10.7265625" customWidth="1"/>
    <col min="11785" max="11785" width="40.7265625" customWidth="1"/>
    <col min="12033" max="12033" width="5.7265625" customWidth="1"/>
    <col min="12034" max="12034" width="7.7265625" customWidth="1"/>
    <col min="12035" max="12035" width="35.7265625" customWidth="1"/>
    <col min="12036" max="12038" width="25.7265625" customWidth="1"/>
    <col min="12039" max="12040" width="10.7265625" customWidth="1"/>
    <col min="12041" max="12041" width="40.7265625" customWidth="1"/>
    <col min="12289" max="12289" width="5.7265625" customWidth="1"/>
    <col min="12290" max="12290" width="7.7265625" customWidth="1"/>
    <col min="12291" max="12291" width="35.7265625" customWidth="1"/>
    <col min="12292" max="12294" width="25.7265625" customWidth="1"/>
    <col min="12295" max="12296" width="10.7265625" customWidth="1"/>
    <col min="12297" max="12297" width="40.7265625" customWidth="1"/>
    <col min="12545" max="12545" width="5.7265625" customWidth="1"/>
    <col min="12546" max="12546" width="7.7265625" customWidth="1"/>
    <col min="12547" max="12547" width="35.7265625" customWidth="1"/>
    <col min="12548" max="12550" width="25.7265625" customWidth="1"/>
    <col min="12551" max="12552" width="10.7265625" customWidth="1"/>
    <col min="12553" max="12553" width="40.7265625" customWidth="1"/>
    <col min="12801" max="12801" width="5.7265625" customWidth="1"/>
    <col min="12802" max="12802" width="7.7265625" customWidth="1"/>
    <col min="12803" max="12803" width="35.7265625" customWidth="1"/>
    <col min="12804" max="12806" width="25.7265625" customWidth="1"/>
    <col min="12807" max="12808" width="10.7265625" customWidth="1"/>
    <col min="12809" max="12809" width="40.7265625" customWidth="1"/>
    <col min="13057" max="13057" width="5.7265625" customWidth="1"/>
    <col min="13058" max="13058" width="7.7265625" customWidth="1"/>
    <col min="13059" max="13059" width="35.7265625" customWidth="1"/>
    <col min="13060" max="13062" width="25.7265625" customWidth="1"/>
    <col min="13063" max="13064" width="10.7265625" customWidth="1"/>
    <col min="13065" max="13065" width="40.7265625" customWidth="1"/>
    <col min="13313" max="13313" width="5.7265625" customWidth="1"/>
    <col min="13314" max="13314" width="7.7265625" customWidth="1"/>
    <col min="13315" max="13315" width="35.7265625" customWidth="1"/>
    <col min="13316" max="13318" width="25.7265625" customWidth="1"/>
    <col min="13319" max="13320" width="10.7265625" customWidth="1"/>
    <col min="13321" max="13321" width="40.7265625" customWidth="1"/>
    <col min="13569" max="13569" width="5.7265625" customWidth="1"/>
    <col min="13570" max="13570" width="7.7265625" customWidth="1"/>
    <col min="13571" max="13571" width="35.7265625" customWidth="1"/>
    <col min="13572" max="13574" width="25.7265625" customWidth="1"/>
    <col min="13575" max="13576" width="10.7265625" customWidth="1"/>
    <col min="13577" max="13577" width="40.7265625" customWidth="1"/>
    <col min="13825" max="13825" width="5.7265625" customWidth="1"/>
    <col min="13826" max="13826" width="7.7265625" customWidth="1"/>
    <col min="13827" max="13827" width="35.7265625" customWidth="1"/>
    <col min="13828" max="13830" width="25.7265625" customWidth="1"/>
    <col min="13831" max="13832" width="10.7265625" customWidth="1"/>
    <col min="13833" max="13833" width="40.7265625" customWidth="1"/>
    <col min="14081" max="14081" width="5.7265625" customWidth="1"/>
    <col min="14082" max="14082" width="7.7265625" customWidth="1"/>
    <col min="14083" max="14083" width="35.7265625" customWidth="1"/>
    <col min="14084" max="14086" width="25.7265625" customWidth="1"/>
    <col min="14087" max="14088" width="10.7265625" customWidth="1"/>
    <col min="14089" max="14089" width="40.7265625" customWidth="1"/>
    <col min="14337" max="14337" width="5.7265625" customWidth="1"/>
    <col min="14338" max="14338" width="7.7265625" customWidth="1"/>
    <col min="14339" max="14339" width="35.7265625" customWidth="1"/>
    <col min="14340" max="14342" width="25.7265625" customWidth="1"/>
    <col min="14343" max="14344" width="10.7265625" customWidth="1"/>
    <col min="14345" max="14345" width="40.7265625" customWidth="1"/>
    <col min="14593" max="14593" width="5.7265625" customWidth="1"/>
    <col min="14594" max="14594" width="7.7265625" customWidth="1"/>
    <col min="14595" max="14595" width="35.7265625" customWidth="1"/>
    <col min="14596" max="14598" width="25.7265625" customWidth="1"/>
    <col min="14599" max="14600" width="10.7265625" customWidth="1"/>
    <col min="14601" max="14601" width="40.7265625" customWidth="1"/>
    <col min="14849" max="14849" width="5.7265625" customWidth="1"/>
    <col min="14850" max="14850" width="7.7265625" customWidth="1"/>
    <col min="14851" max="14851" width="35.7265625" customWidth="1"/>
    <col min="14852" max="14854" width="25.7265625" customWidth="1"/>
    <col min="14855" max="14856" width="10.7265625" customWidth="1"/>
    <col min="14857" max="14857" width="40.7265625" customWidth="1"/>
    <col min="15105" max="15105" width="5.7265625" customWidth="1"/>
    <col min="15106" max="15106" width="7.7265625" customWidth="1"/>
    <col min="15107" max="15107" width="35.7265625" customWidth="1"/>
    <col min="15108" max="15110" width="25.7265625" customWidth="1"/>
    <col min="15111" max="15112" width="10.7265625" customWidth="1"/>
    <col min="15113" max="15113" width="40.7265625" customWidth="1"/>
    <col min="15361" max="15361" width="5.7265625" customWidth="1"/>
    <col min="15362" max="15362" width="7.7265625" customWidth="1"/>
    <col min="15363" max="15363" width="35.7265625" customWidth="1"/>
    <col min="15364" max="15366" width="25.7265625" customWidth="1"/>
    <col min="15367" max="15368" width="10.7265625" customWidth="1"/>
    <col min="15369" max="15369" width="40.7265625" customWidth="1"/>
    <col min="15617" max="15617" width="5.7265625" customWidth="1"/>
    <col min="15618" max="15618" width="7.7265625" customWidth="1"/>
    <col min="15619" max="15619" width="35.7265625" customWidth="1"/>
    <col min="15620" max="15622" width="25.7265625" customWidth="1"/>
    <col min="15623" max="15624" width="10.7265625" customWidth="1"/>
    <col min="15625" max="15625" width="40.7265625" customWidth="1"/>
    <col min="15873" max="15873" width="5.7265625" customWidth="1"/>
    <col min="15874" max="15874" width="7.7265625" customWidth="1"/>
    <col min="15875" max="15875" width="35.7265625" customWidth="1"/>
    <col min="15876" max="15878" width="25.7265625" customWidth="1"/>
    <col min="15879" max="15880" width="10.7265625" customWidth="1"/>
    <col min="15881" max="15881" width="40.7265625" customWidth="1"/>
    <col min="16129" max="16129" width="5.7265625" customWidth="1"/>
    <col min="16130" max="16130" width="7.7265625" customWidth="1"/>
    <col min="16131" max="16131" width="35.7265625" customWidth="1"/>
    <col min="16132" max="16134" width="25.7265625" customWidth="1"/>
    <col min="16135" max="16136" width="10.7265625" customWidth="1"/>
    <col min="16137" max="16137" width="40.7265625" customWidth="1"/>
  </cols>
  <sheetData>
    <row r="1" spans="1:12" ht="14.5">
      <c r="A1" s="58"/>
      <c r="B1" s="5"/>
      <c r="C1" s="5"/>
      <c r="D1" s="5"/>
      <c r="E1" s="5"/>
      <c r="F1" s="5"/>
      <c r="G1" s="5"/>
      <c r="H1" s="5"/>
      <c r="I1" s="5"/>
      <c r="J1" s="5"/>
    </row>
    <row r="2" spans="1:12" ht="14.5">
      <c r="A2" s="58"/>
      <c r="B2" s="5"/>
      <c r="C2" s="5"/>
      <c r="D2" s="5"/>
      <c r="E2" s="5"/>
      <c r="F2" s="5"/>
      <c r="G2" s="5"/>
      <c r="H2" s="5"/>
      <c r="I2" s="5"/>
      <c r="J2" s="5"/>
    </row>
    <row r="3" spans="1:12" ht="15" thickBot="1">
      <c r="A3" s="58"/>
      <c r="B3" s="5"/>
      <c r="C3" s="5"/>
      <c r="D3" s="5"/>
      <c r="E3" s="5"/>
      <c r="F3" s="5"/>
      <c r="G3" s="5"/>
      <c r="H3" s="5"/>
      <c r="I3" s="5"/>
      <c r="J3" s="5"/>
    </row>
    <row r="4" spans="1:12" s="71" customFormat="1" ht="18.5" thickBot="1">
      <c r="A4" s="60"/>
      <c r="B4" s="380" t="s">
        <v>304</v>
      </c>
      <c r="C4" s="381"/>
      <c r="D4" s="381"/>
      <c r="E4" s="381"/>
      <c r="F4" s="381"/>
      <c r="G4" s="381"/>
      <c r="H4" s="381"/>
      <c r="I4" s="382"/>
      <c r="J4" s="70"/>
    </row>
    <row r="5" spans="1:12" s="76" customFormat="1" ht="39.5" thickBot="1">
      <c r="A5" s="53"/>
      <c r="B5" s="85" t="s">
        <v>96</v>
      </c>
      <c r="C5" s="86" t="s">
        <v>305</v>
      </c>
      <c r="D5" s="86" t="s">
        <v>98</v>
      </c>
      <c r="E5" s="86" t="s">
        <v>99</v>
      </c>
      <c r="F5" s="86" t="s">
        <v>100</v>
      </c>
      <c r="G5" s="86" t="s">
        <v>101</v>
      </c>
      <c r="H5" s="86" t="s">
        <v>102</v>
      </c>
      <c r="I5" s="87" t="s">
        <v>103</v>
      </c>
      <c r="J5" s="75"/>
      <c r="K5" s="88"/>
      <c r="L5" s="88"/>
    </row>
    <row r="6" spans="1:12" ht="78">
      <c r="A6" s="383" t="s">
        <v>306</v>
      </c>
      <c r="B6" s="64" t="s">
        <v>307</v>
      </c>
      <c r="C6" s="64" t="s">
        <v>308</v>
      </c>
      <c r="D6" s="64" t="s">
        <v>309</v>
      </c>
      <c r="E6" s="64" t="s">
        <v>310</v>
      </c>
      <c r="F6" s="64" t="s">
        <v>311</v>
      </c>
      <c r="G6" s="65" t="s">
        <v>110</v>
      </c>
      <c r="H6" s="66" t="str">
        <f>IF(G6="H","Yes",IF(G6="M","Yes","No"))</f>
        <v>No</v>
      </c>
      <c r="I6" s="67"/>
      <c r="J6" s="5"/>
    </row>
    <row r="7" spans="1:12" ht="78">
      <c r="A7" s="384"/>
      <c r="B7" s="64" t="s">
        <v>312</v>
      </c>
      <c r="C7" s="64" t="s">
        <v>313</v>
      </c>
      <c r="D7" s="64" t="s">
        <v>314</v>
      </c>
      <c r="E7" s="64" t="s">
        <v>315</v>
      </c>
      <c r="F7" s="64" t="s">
        <v>316</v>
      </c>
      <c r="G7" s="65" t="s">
        <v>110</v>
      </c>
      <c r="H7" s="66" t="str">
        <f t="shared" ref="H7:H25" si="0">IF(G7="H","Yes",IF(G7="M","Yes","No"))</f>
        <v>No</v>
      </c>
      <c r="I7" s="67"/>
      <c r="J7" s="5"/>
    </row>
    <row r="8" spans="1:12" ht="52">
      <c r="A8" s="384"/>
      <c r="B8" s="64" t="s">
        <v>317</v>
      </c>
      <c r="C8" s="64" t="s">
        <v>318</v>
      </c>
      <c r="D8" s="64" t="s">
        <v>319</v>
      </c>
      <c r="E8" s="64" t="s">
        <v>320</v>
      </c>
      <c r="F8" s="64" t="s">
        <v>321</v>
      </c>
      <c r="G8" s="65" t="s">
        <v>110</v>
      </c>
      <c r="H8" s="66" t="str">
        <f t="shared" si="0"/>
        <v>No</v>
      </c>
      <c r="I8" s="67"/>
      <c r="J8" s="5"/>
    </row>
    <row r="9" spans="1:12" ht="52">
      <c r="A9" s="384"/>
      <c r="B9" s="64" t="s">
        <v>322</v>
      </c>
      <c r="C9" s="64" t="s">
        <v>323</v>
      </c>
      <c r="D9" s="64" t="s">
        <v>324</v>
      </c>
      <c r="E9" s="64" t="s">
        <v>325</v>
      </c>
      <c r="F9" s="64" t="s">
        <v>326</v>
      </c>
      <c r="G9" s="65" t="s">
        <v>110</v>
      </c>
      <c r="H9" s="66" t="str">
        <f t="shared" si="0"/>
        <v>No</v>
      </c>
      <c r="I9" s="67"/>
      <c r="J9" s="5"/>
    </row>
    <row r="10" spans="1:12" ht="65.5" thickBot="1">
      <c r="A10" s="385"/>
      <c r="B10" s="64" t="s">
        <v>327</v>
      </c>
      <c r="C10" s="64" t="s">
        <v>328</v>
      </c>
      <c r="D10" s="64" t="s">
        <v>329</v>
      </c>
      <c r="E10" s="64" t="s">
        <v>330</v>
      </c>
      <c r="F10" s="64" t="s">
        <v>331</v>
      </c>
      <c r="G10" s="65" t="s">
        <v>110</v>
      </c>
      <c r="H10" s="66" t="str">
        <f t="shared" si="0"/>
        <v>No</v>
      </c>
      <c r="I10" s="67"/>
      <c r="J10" s="5"/>
    </row>
    <row r="11" spans="1:12" ht="52">
      <c r="A11" s="386" t="s">
        <v>332</v>
      </c>
      <c r="B11" s="64" t="s">
        <v>333</v>
      </c>
      <c r="C11" s="64" t="s">
        <v>334</v>
      </c>
      <c r="D11" s="64" t="s">
        <v>335</v>
      </c>
      <c r="E11" s="64" t="s">
        <v>336</v>
      </c>
      <c r="F11" s="64" t="s">
        <v>337</v>
      </c>
      <c r="G11" s="65" t="s">
        <v>110</v>
      </c>
      <c r="H11" s="66" t="str">
        <f t="shared" si="0"/>
        <v>No</v>
      </c>
      <c r="I11" s="67"/>
      <c r="J11" s="5"/>
    </row>
    <row r="12" spans="1:12" ht="52">
      <c r="A12" s="387"/>
      <c r="B12" s="64" t="s">
        <v>338</v>
      </c>
      <c r="C12" s="64" t="s">
        <v>339</v>
      </c>
      <c r="D12" s="64" t="s">
        <v>340</v>
      </c>
      <c r="E12" s="64" t="s">
        <v>341</v>
      </c>
      <c r="F12" s="64" t="s">
        <v>342</v>
      </c>
      <c r="G12" s="65" t="s">
        <v>110</v>
      </c>
      <c r="H12" s="66" t="str">
        <f t="shared" si="0"/>
        <v>No</v>
      </c>
      <c r="I12" s="67"/>
      <c r="J12" s="5"/>
    </row>
    <row r="13" spans="1:12" ht="52">
      <c r="A13" s="387"/>
      <c r="B13" s="64" t="s">
        <v>343</v>
      </c>
      <c r="C13" s="64" t="s">
        <v>344</v>
      </c>
      <c r="D13" s="64" t="s">
        <v>345</v>
      </c>
      <c r="E13" s="64" t="s">
        <v>346</v>
      </c>
      <c r="F13" s="64" t="s">
        <v>347</v>
      </c>
      <c r="G13" s="65" t="s">
        <v>110</v>
      </c>
      <c r="H13" s="66" t="str">
        <f t="shared" si="0"/>
        <v>No</v>
      </c>
      <c r="I13" s="67"/>
      <c r="J13" s="5"/>
    </row>
    <row r="14" spans="1:12" ht="65.5" thickBot="1">
      <c r="A14" s="388"/>
      <c r="B14" s="64" t="s">
        <v>348</v>
      </c>
      <c r="C14" s="64" t="s">
        <v>349</v>
      </c>
      <c r="D14" s="64" t="s">
        <v>350</v>
      </c>
      <c r="E14" s="64" t="s">
        <v>351</v>
      </c>
      <c r="F14" s="64" t="s">
        <v>352</v>
      </c>
      <c r="G14" s="65" t="s">
        <v>110</v>
      </c>
      <c r="H14" s="66" t="str">
        <f t="shared" si="0"/>
        <v>No</v>
      </c>
      <c r="I14" s="67"/>
      <c r="J14" s="5"/>
    </row>
    <row r="15" spans="1:12" ht="65">
      <c r="A15" s="389" t="s">
        <v>353</v>
      </c>
      <c r="B15" s="64" t="s">
        <v>354</v>
      </c>
      <c r="C15" s="64" t="s">
        <v>355</v>
      </c>
      <c r="D15" s="64" t="s">
        <v>356</v>
      </c>
      <c r="E15" s="64" t="s">
        <v>357</v>
      </c>
      <c r="F15" s="64" t="s">
        <v>358</v>
      </c>
      <c r="G15" s="65" t="s">
        <v>110</v>
      </c>
      <c r="H15" s="66" t="str">
        <f t="shared" si="0"/>
        <v>No</v>
      </c>
      <c r="I15" s="67"/>
      <c r="J15" s="5"/>
    </row>
    <row r="16" spans="1:12" ht="91">
      <c r="A16" s="390"/>
      <c r="B16" s="64" t="s">
        <v>359</v>
      </c>
      <c r="C16" s="64" t="s">
        <v>360</v>
      </c>
      <c r="D16" s="64" t="s">
        <v>361</v>
      </c>
      <c r="E16" s="64" t="s">
        <v>362</v>
      </c>
      <c r="F16" s="64" t="s">
        <v>363</v>
      </c>
      <c r="G16" s="65" t="s">
        <v>110</v>
      </c>
      <c r="H16" s="66" t="str">
        <f t="shared" si="0"/>
        <v>No</v>
      </c>
      <c r="I16" s="67"/>
      <c r="J16" s="5"/>
    </row>
    <row r="17" spans="1:10" ht="65">
      <c r="A17" s="390"/>
      <c r="B17" s="64" t="s">
        <v>364</v>
      </c>
      <c r="C17" s="64" t="s">
        <v>365</v>
      </c>
      <c r="D17" s="64" t="s">
        <v>366</v>
      </c>
      <c r="E17" s="64" t="s">
        <v>367</v>
      </c>
      <c r="F17" s="64" t="s">
        <v>368</v>
      </c>
      <c r="G17" s="65" t="s">
        <v>110</v>
      </c>
      <c r="H17" s="66" t="str">
        <f t="shared" si="0"/>
        <v>No</v>
      </c>
      <c r="I17" s="67"/>
      <c r="J17" s="5"/>
    </row>
    <row r="18" spans="1:10" ht="52">
      <c r="A18" s="390"/>
      <c r="B18" s="64" t="s">
        <v>369</v>
      </c>
      <c r="C18" s="64" t="s">
        <v>370</v>
      </c>
      <c r="D18" s="64" t="s">
        <v>371</v>
      </c>
      <c r="E18" s="64" t="s">
        <v>372</v>
      </c>
      <c r="F18" s="64" t="s">
        <v>373</v>
      </c>
      <c r="G18" s="65" t="s">
        <v>110</v>
      </c>
      <c r="H18" s="66" t="str">
        <f t="shared" si="0"/>
        <v>No</v>
      </c>
      <c r="I18" s="67"/>
      <c r="J18" s="5"/>
    </row>
    <row r="19" spans="1:10" ht="52.5" thickBot="1">
      <c r="A19" s="391"/>
      <c r="B19" s="64" t="s">
        <v>374</v>
      </c>
      <c r="C19" s="64" t="s">
        <v>375</v>
      </c>
      <c r="D19" s="64" t="s">
        <v>376</v>
      </c>
      <c r="E19" s="64" t="s">
        <v>377</v>
      </c>
      <c r="F19" s="64" t="s">
        <v>378</v>
      </c>
      <c r="G19" s="65" t="s">
        <v>110</v>
      </c>
      <c r="H19" s="66" t="str">
        <f t="shared" si="0"/>
        <v>No</v>
      </c>
      <c r="I19" s="67"/>
      <c r="J19" s="5"/>
    </row>
    <row r="20" spans="1:10" ht="65">
      <c r="A20" s="392" t="s">
        <v>379</v>
      </c>
      <c r="B20" s="64" t="s">
        <v>380</v>
      </c>
      <c r="C20" s="64" t="s">
        <v>381</v>
      </c>
      <c r="D20" s="64" t="s">
        <v>233</v>
      </c>
      <c r="E20" s="64" t="s">
        <v>382</v>
      </c>
      <c r="F20" s="64" t="s">
        <v>383</v>
      </c>
      <c r="G20" s="65" t="s">
        <v>110</v>
      </c>
      <c r="H20" s="66" t="str">
        <f t="shared" si="0"/>
        <v>No</v>
      </c>
      <c r="I20" s="67"/>
      <c r="J20" s="5"/>
    </row>
    <row r="21" spans="1:10" ht="78">
      <c r="A21" s="393"/>
      <c r="B21" s="64" t="s">
        <v>384</v>
      </c>
      <c r="C21" s="64" t="s">
        <v>385</v>
      </c>
      <c r="D21" s="64" t="s">
        <v>386</v>
      </c>
      <c r="E21" s="64" t="s">
        <v>387</v>
      </c>
      <c r="F21" s="64" t="s">
        <v>388</v>
      </c>
      <c r="G21" s="65" t="s">
        <v>110</v>
      </c>
      <c r="H21" s="66" t="str">
        <f t="shared" si="0"/>
        <v>No</v>
      </c>
      <c r="I21" s="67"/>
      <c r="J21" s="5"/>
    </row>
    <row r="22" spans="1:10" ht="65.5" thickBot="1">
      <c r="A22" s="394"/>
      <c r="B22" s="64" t="s">
        <v>389</v>
      </c>
      <c r="C22" s="64" t="s">
        <v>390</v>
      </c>
      <c r="D22" s="64" t="s">
        <v>391</v>
      </c>
      <c r="E22" s="64" t="s">
        <v>392</v>
      </c>
      <c r="F22" s="64" t="s">
        <v>393</v>
      </c>
      <c r="G22" s="65" t="s">
        <v>110</v>
      </c>
      <c r="H22" s="66" t="str">
        <f t="shared" si="0"/>
        <v>No</v>
      </c>
      <c r="I22" s="67"/>
      <c r="J22" s="5"/>
    </row>
    <row r="23" spans="1:10" ht="52">
      <c r="A23" s="379" t="s">
        <v>394</v>
      </c>
      <c r="B23" s="64" t="s">
        <v>395</v>
      </c>
      <c r="C23" s="64" t="s">
        <v>396</v>
      </c>
      <c r="D23" s="64" t="s">
        <v>397</v>
      </c>
      <c r="E23" s="64" t="s">
        <v>398</v>
      </c>
      <c r="F23" s="64" t="s">
        <v>399</v>
      </c>
      <c r="G23" s="65" t="s">
        <v>110</v>
      </c>
      <c r="H23" s="66" t="str">
        <f t="shared" si="0"/>
        <v>No</v>
      </c>
      <c r="I23" s="67"/>
      <c r="J23" s="5"/>
    </row>
    <row r="24" spans="1:10" ht="39">
      <c r="A24" s="346"/>
      <c r="B24" s="64" t="s">
        <v>400</v>
      </c>
      <c r="C24" s="64" t="s">
        <v>401</v>
      </c>
      <c r="D24" s="64" t="s">
        <v>402</v>
      </c>
      <c r="E24" s="64" t="s">
        <v>403</v>
      </c>
      <c r="F24" s="64" t="s">
        <v>404</v>
      </c>
      <c r="G24" s="65" t="s">
        <v>110</v>
      </c>
      <c r="H24" s="66" t="str">
        <f t="shared" si="0"/>
        <v>No</v>
      </c>
      <c r="I24" s="67"/>
      <c r="J24" s="5"/>
    </row>
    <row r="25" spans="1:10" ht="65.5" thickBot="1">
      <c r="A25" s="347"/>
      <c r="B25" s="64" t="s">
        <v>405</v>
      </c>
      <c r="C25" s="64" t="s">
        <v>406</v>
      </c>
      <c r="D25" s="64" t="s">
        <v>407</v>
      </c>
      <c r="E25" s="64" t="s">
        <v>408</v>
      </c>
      <c r="F25" s="64" t="s">
        <v>409</v>
      </c>
      <c r="G25" s="65" t="s">
        <v>110</v>
      </c>
      <c r="H25" s="66" t="str">
        <f t="shared" si="0"/>
        <v>No</v>
      </c>
      <c r="I25" s="67"/>
      <c r="J25" s="5"/>
    </row>
  </sheetData>
  <mergeCells count="6">
    <mergeCell ref="A23:A25"/>
    <mergeCell ref="B4:I4"/>
    <mergeCell ref="A6:A10"/>
    <mergeCell ref="A11:A14"/>
    <mergeCell ref="A15:A19"/>
    <mergeCell ref="A20:A22"/>
  </mergeCells>
  <conditionalFormatting sqref="B6:I25">
    <cfRule type="expression" dxfId="2" priority="1" stopIfTrue="1">
      <formula>$G6="H"</formula>
    </cfRule>
    <cfRule type="expression" dxfId="1" priority="2" stopIfTrue="1">
      <formula>$G6="M"</formula>
    </cfRule>
    <cfRule type="expression" dxfId="0" priority="3" stopIfTrue="1">
      <formula>$G6="L"</formula>
    </cfRule>
  </conditionalFormatting>
  <dataValidations count="1">
    <dataValidation type="list" allowBlank="1" showInputMessage="1" showErrorMessage="1" promptTitle="Valid Responses are:" prompt="Enter _x000a_L = Low_x000a_M = Medium_x000a_H = High_x000a_NA = Not Applicable " sqref="G6:G25 JC6:JC25 SY6:SY25 ACU6:ACU25 AMQ6:AMQ25 AWM6:AWM25 BGI6:BGI25 BQE6:BQE25 CAA6:CAA25 CJW6:CJW25 CTS6:CTS25 DDO6:DDO25 DNK6:DNK25 DXG6:DXG25 EHC6:EHC25 EQY6:EQY25 FAU6:FAU25 FKQ6:FKQ25 FUM6:FUM25 GEI6:GEI25 GOE6:GOE25 GYA6:GYA25 HHW6:HHW25 HRS6:HRS25 IBO6:IBO25 ILK6:ILK25 IVG6:IVG25 JFC6:JFC25 JOY6:JOY25 JYU6:JYU25 KIQ6:KIQ25 KSM6:KSM25 LCI6:LCI25 LME6:LME25 LWA6:LWA25 MFW6:MFW25 MPS6:MPS25 MZO6:MZO25 NJK6:NJK25 NTG6:NTG25 ODC6:ODC25 OMY6:OMY25 OWU6:OWU25 PGQ6:PGQ25 PQM6:PQM25 QAI6:QAI25 QKE6:QKE25 QUA6:QUA25 RDW6:RDW25 RNS6:RNS25 RXO6:RXO25 SHK6:SHK25 SRG6:SRG25 TBC6:TBC25 TKY6:TKY25 TUU6:TUU25 UEQ6:UEQ25 UOM6:UOM25 UYI6:UYI25 VIE6:VIE25 VSA6:VSA25 WBW6:WBW25 WLS6:WLS25 WVO6:WVO25 G65542:G65561 JC65542:JC65561 SY65542:SY65561 ACU65542:ACU65561 AMQ65542:AMQ65561 AWM65542:AWM65561 BGI65542:BGI65561 BQE65542:BQE65561 CAA65542:CAA65561 CJW65542:CJW65561 CTS65542:CTS65561 DDO65542:DDO65561 DNK65542:DNK65561 DXG65542:DXG65561 EHC65542:EHC65561 EQY65542:EQY65561 FAU65542:FAU65561 FKQ65542:FKQ65561 FUM65542:FUM65561 GEI65542:GEI65561 GOE65542:GOE65561 GYA65542:GYA65561 HHW65542:HHW65561 HRS65542:HRS65561 IBO65542:IBO65561 ILK65542:ILK65561 IVG65542:IVG65561 JFC65542:JFC65561 JOY65542:JOY65561 JYU65542:JYU65561 KIQ65542:KIQ65561 KSM65542:KSM65561 LCI65542:LCI65561 LME65542:LME65561 LWA65542:LWA65561 MFW65542:MFW65561 MPS65542:MPS65561 MZO65542:MZO65561 NJK65542:NJK65561 NTG65542:NTG65561 ODC65542:ODC65561 OMY65542:OMY65561 OWU65542:OWU65561 PGQ65542:PGQ65561 PQM65542:PQM65561 QAI65542:QAI65561 QKE65542:QKE65561 QUA65542:QUA65561 RDW65542:RDW65561 RNS65542:RNS65561 RXO65542:RXO65561 SHK65542:SHK65561 SRG65542:SRG65561 TBC65542:TBC65561 TKY65542:TKY65561 TUU65542:TUU65561 UEQ65542:UEQ65561 UOM65542:UOM65561 UYI65542:UYI65561 VIE65542:VIE65561 VSA65542:VSA65561 WBW65542:WBW65561 WLS65542:WLS65561 WVO65542:WVO65561 G131078:G131097 JC131078:JC131097 SY131078:SY131097 ACU131078:ACU131097 AMQ131078:AMQ131097 AWM131078:AWM131097 BGI131078:BGI131097 BQE131078:BQE131097 CAA131078:CAA131097 CJW131078:CJW131097 CTS131078:CTS131097 DDO131078:DDO131097 DNK131078:DNK131097 DXG131078:DXG131097 EHC131078:EHC131097 EQY131078:EQY131097 FAU131078:FAU131097 FKQ131078:FKQ131097 FUM131078:FUM131097 GEI131078:GEI131097 GOE131078:GOE131097 GYA131078:GYA131097 HHW131078:HHW131097 HRS131078:HRS131097 IBO131078:IBO131097 ILK131078:ILK131097 IVG131078:IVG131097 JFC131078:JFC131097 JOY131078:JOY131097 JYU131078:JYU131097 KIQ131078:KIQ131097 KSM131078:KSM131097 LCI131078:LCI131097 LME131078:LME131097 LWA131078:LWA131097 MFW131078:MFW131097 MPS131078:MPS131097 MZO131078:MZO131097 NJK131078:NJK131097 NTG131078:NTG131097 ODC131078:ODC131097 OMY131078:OMY131097 OWU131078:OWU131097 PGQ131078:PGQ131097 PQM131078:PQM131097 QAI131078:QAI131097 QKE131078:QKE131097 QUA131078:QUA131097 RDW131078:RDW131097 RNS131078:RNS131097 RXO131078:RXO131097 SHK131078:SHK131097 SRG131078:SRG131097 TBC131078:TBC131097 TKY131078:TKY131097 TUU131078:TUU131097 UEQ131078:UEQ131097 UOM131078:UOM131097 UYI131078:UYI131097 VIE131078:VIE131097 VSA131078:VSA131097 WBW131078:WBW131097 WLS131078:WLS131097 WVO131078:WVO131097 G196614:G196633 JC196614:JC196633 SY196614:SY196633 ACU196614:ACU196633 AMQ196614:AMQ196633 AWM196614:AWM196633 BGI196614:BGI196633 BQE196614:BQE196633 CAA196614:CAA196633 CJW196614:CJW196633 CTS196614:CTS196633 DDO196614:DDO196633 DNK196614:DNK196633 DXG196614:DXG196633 EHC196614:EHC196633 EQY196614:EQY196633 FAU196614:FAU196633 FKQ196614:FKQ196633 FUM196614:FUM196633 GEI196614:GEI196633 GOE196614:GOE196633 GYA196614:GYA196633 HHW196614:HHW196633 HRS196614:HRS196633 IBO196614:IBO196633 ILK196614:ILK196633 IVG196614:IVG196633 JFC196614:JFC196633 JOY196614:JOY196633 JYU196614:JYU196633 KIQ196614:KIQ196633 KSM196614:KSM196633 LCI196614:LCI196633 LME196614:LME196633 LWA196614:LWA196633 MFW196614:MFW196633 MPS196614:MPS196633 MZO196614:MZO196633 NJK196614:NJK196633 NTG196614:NTG196633 ODC196614:ODC196633 OMY196614:OMY196633 OWU196614:OWU196633 PGQ196614:PGQ196633 PQM196614:PQM196633 QAI196614:QAI196633 QKE196614:QKE196633 QUA196614:QUA196633 RDW196614:RDW196633 RNS196614:RNS196633 RXO196614:RXO196633 SHK196614:SHK196633 SRG196614:SRG196633 TBC196614:TBC196633 TKY196614:TKY196633 TUU196614:TUU196633 UEQ196614:UEQ196633 UOM196614:UOM196633 UYI196614:UYI196633 VIE196614:VIE196633 VSA196614:VSA196633 WBW196614:WBW196633 WLS196614:WLS196633 WVO196614:WVO196633 G262150:G262169 JC262150:JC262169 SY262150:SY262169 ACU262150:ACU262169 AMQ262150:AMQ262169 AWM262150:AWM262169 BGI262150:BGI262169 BQE262150:BQE262169 CAA262150:CAA262169 CJW262150:CJW262169 CTS262150:CTS262169 DDO262150:DDO262169 DNK262150:DNK262169 DXG262150:DXG262169 EHC262150:EHC262169 EQY262150:EQY262169 FAU262150:FAU262169 FKQ262150:FKQ262169 FUM262150:FUM262169 GEI262150:GEI262169 GOE262150:GOE262169 GYA262150:GYA262169 HHW262150:HHW262169 HRS262150:HRS262169 IBO262150:IBO262169 ILK262150:ILK262169 IVG262150:IVG262169 JFC262150:JFC262169 JOY262150:JOY262169 JYU262150:JYU262169 KIQ262150:KIQ262169 KSM262150:KSM262169 LCI262150:LCI262169 LME262150:LME262169 LWA262150:LWA262169 MFW262150:MFW262169 MPS262150:MPS262169 MZO262150:MZO262169 NJK262150:NJK262169 NTG262150:NTG262169 ODC262150:ODC262169 OMY262150:OMY262169 OWU262150:OWU262169 PGQ262150:PGQ262169 PQM262150:PQM262169 QAI262150:QAI262169 QKE262150:QKE262169 QUA262150:QUA262169 RDW262150:RDW262169 RNS262150:RNS262169 RXO262150:RXO262169 SHK262150:SHK262169 SRG262150:SRG262169 TBC262150:TBC262169 TKY262150:TKY262169 TUU262150:TUU262169 UEQ262150:UEQ262169 UOM262150:UOM262169 UYI262150:UYI262169 VIE262150:VIE262169 VSA262150:VSA262169 WBW262150:WBW262169 WLS262150:WLS262169 WVO262150:WVO262169 G327686:G327705 JC327686:JC327705 SY327686:SY327705 ACU327686:ACU327705 AMQ327686:AMQ327705 AWM327686:AWM327705 BGI327686:BGI327705 BQE327686:BQE327705 CAA327686:CAA327705 CJW327686:CJW327705 CTS327686:CTS327705 DDO327686:DDO327705 DNK327686:DNK327705 DXG327686:DXG327705 EHC327686:EHC327705 EQY327686:EQY327705 FAU327686:FAU327705 FKQ327686:FKQ327705 FUM327686:FUM327705 GEI327686:GEI327705 GOE327686:GOE327705 GYA327686:GYA327705 HHW327686:HHW327705 HRS327686:HRS327705 IBO327686:IBO327705 ILK327686:ILK327705 IVG327686:IVG327705 JFC327686:JFC327705 JOY327686:JOY327705 JYU327686:JYU327705 KIQ327686:KIQ327705 KSM327686:KSM327705 LCI327686:LCI327705 LME327686:LME327705 LWA327686:LWA327705 MFW327686:MFW327705 MPS327686:MPS327705 MZO327686:MZO327705 NJK327686:NJK327705 NTG327686:NTG327705 ODC327686:ODC327705 OMY327686:OMY327705 OWU327686:OWU327705 PGQ327686:PGQ327705 PQM327686:PQM327705 QAI327686:QAI327705 QKE327686:QKE327705 QUA327686:QUA327705 RDW327686:RDW327705 RNS327686:RNS327705 RXO327686:RXO327705 SHK327686:SHK327705 SRG327686:SRG327705 TBC327686:TBC327705 TKY327686:TKY327705 TUU327686:TUU327705 UEQ327686:UEQ327705 UOM327686:UOM327705 UYI327686:UYI327705 VIE327686:VIE327705 VSA327686:VSA327705 WBW327686:WBW327705 WLS327686:WLS327705 WVO327686:WVO327705 G393222:G393241 JC393222:JC393241 SY393222:SY393241 ACU393222:ACU393241 AMQ393222:AMQ393241 AWM393222:AWM393241 BGI393222:BGI393241 BQE393222:BQE393241 CAA393222:CAA393241 CJW393222:CJW393241 CTS393222:CTS393241 DDO393222:DDO393241 DNK393222:DNK393241 DXG393222:DXG393241 EHC393222:EHC393241 EQY393222:EQY393241 FAU393222:FAU393241 FKQ393222:FKQ393241 FUM393222:FUM393241 GEI393222:GEI393241 GOE393222:GOE393241 GYA393222:GYA393241 HHW393222:HHW393241 HRS393222:HRS393241 IBO393222:IBO393241 ILK393222:ILK393241 IVG393222:IVG393241 JFC393222:JFC393241 JOY393222:JOY393241 JYU393222:JYU393241 KIQ393222:KIQ393241 KSM393222:KSM393241 LCI393222:LCI393241 LME393222:LME393241 LWA393222:LWA393241 MFW393222:MFW393241 MPS393222:MPS393241 MZO393222:MZO393241 NJK393222:NJK393241 NTG393222:NTG393241 ODC393222:ODC393241 OMY393222:OMY393241 OWU393222:OWU393241 PGQ393222:PGQ393241 PQM393222:PQM393241 QAI393222:QAI393241 QKE393222:QKE393241 QUA393222:QUA393241 RDW393222:RDW393241 RNS393222:RNS393241 RXO393222:RXO393241 SHK393222:SHK393241 SRG393222:SRG393241 TBC393222:TBC393241 TKY393222:TKY393241 TUU393222:TUU393241 UEQ393222:UEQ393241 UOM393222:UOM393241 UYI393222:UYI393241 VIE393222:VIE393241 VSA393222:VSA393241 WBW393222:WBW393241 WLS393222:WLS393241 WVO393222:WVO393241 G458758:G458777 JC458758:JC458777 SY458758:SY458777 ACU458758:ACU458777 AMQ458758:AMQ458777 AWM458758:AWM458777 BGI458758:BGI458777 BQE458758:BQE458777 CAA458758:CAA458777 CJW458758:CJW458777 CTS458758:CTS458777 DDO458758:DDO458777 DNK458758:DNK458777 DXG458758:DXG458777 EHC458758:EHC458777 EQY458758:EQY458777 FAU458758:FAU458777 FKQ458758:FKQ458777 FUM458758:FUM458777 GEI458758:GEI458777 GOE458758:GOE458777 GYA458758:GYA458777 HHW458758:HHW458777 HRS458758:HRS458777 IBO458758:IBO458777 ILK458758:ILK458777 IVG458758:IVG458777 JFC458758:JFC458777 JOY458758:JOY458777 JYU458758:JYU458777 KIQ458758:KIQ458777 KSM458758:KSM458777 LCI458758:LCI458777 LME458758:LME458777 LWA458758:LWA458777 MFW458758:MFW458777 MPS458758:MPS458777 MZO458758:MZO458777 NJK458758:NJK458777 NTG458758:NTG458777 ODC458758:ODC458777 OMY458758:OMY458777 OWU458758:OWU458777 PGQ458758:PGQ458777 PQM458758:PQM458777 QAI458758:QAI458777 QKE458758:QKE458777 QUA458758:QUA458777 RDW458758:RDW458777 RNS458758:RNS458777 RXO458758:RXO458777 SHK458758:SHK458777 SRG458758:SRG458777 TBC458758:TBC458777 TKY458758:TKY458777 TUU458758:TUU458777 UEQ458758:UEQ458777 UOM458758:UOM458777 UYI458758:UYI458777 VIE458758:VIE458777 VSA458758:VSA458777 WBW458758:WBW458777 WLS458758:WLS458777 WVO458758:WVO458777 G524294:G524313 JC524294:JC524313 SY524294:SY524313 ACU524294:ACU524313 AMQ524294:AMQ524313 AWM524294:AWM524313 BGI524294:BGI524313 BQE524294:BQE524313 CAA524294:CAA524313 CJW524294:CJW524313 CTS524294:CTS524313 DDO524294:DDO524313 DNK524294:DNK524313 DXG524294:DXG524313 EHC524294:EHC524313 EQY524294:EQY524313 FAU524294:FAU524313 FKQ524294:FKQ524313 FUM524294:FUM524313 GEI524294:GEI524313 GOE524294:GOE524313 GYA524294:GYA524313 HHW524294:HHW524313 HRS524294:HRS524313 IBO524294:IBO524313 ILK524294:ILK524313 IVG524294:IVG524313 JFC524294:JFC524313 JOY524294:JOY524313 JYU524294:JYU524313 KIQ524294:KIQ524313 KSM524294:KSM524313 LCI524294:LCI524313 LME524294:LME524313 LWA524294:LWA524313 MFW524294:MFW524313 MPS524294:MPS524313 MZO524294:MZO524313 NJK524294:NJK524313 NTG524294:NTG524313 ODC524294:ODC524313 OMY524294:OMY524313 OWU524294:OWU524313 PGQ524294:PGQ524313 PQM524294:PQM524313 QAI524294:QAI524313 QKE524294:QKE524313 QUA524294:QUA524313 RDW524294:RDW524313 RNS524294:RNS524313 RXO524294:RXO524313 SHK524294:SHK524313 SRG524294:SRG524313 TBC524294:TBC524313 TKY524294:TKY524313 TUU524294:TUU524313 UEQ524294:UEQ524313 UOM524294:UOM524313 UYI524294:UYI524313 VIE524294:VIE524313 VSA524294:VSA524313 WBW524294:WBW524313 WLS524294:WLS524313 WVO524294:WVO524313 G589830:G589849 JC589830:JC589849 SY589830:SY589849 ACU589830:ACU589849 AMQ589830:AMQ589849 AWM589830:AWM589849 BGI589830:BGI589849 BQE589830:BQE589849 CAA589830:CAA589849 CJW589830:CJW589849 CTS589830:CTS589849 DDO589830:DDO589849 DNK589830:DNK589849 DXG589830:DXG589849 EHC589830:EHC589849 EQY589830:EQY589849 FAU589830:FAU589849 FKQ589830:FKQ589849 FUM589830:FUM589849 GEI589830:GEI589849 GOE589830:GOE589849 GYA589830:GYA589849 HHW589830:HHW589849 HRS589830:HRS589849 IBO589830:IBO589849 ILK589830:ILK589849 IVG589830:IVG589849 JFC589830:JFC589849 JOY589830:JOY589849 JYU589830:JYU589849 KIQ589830:KIQ589849 KSM589830:KSM589849 LCI589830:LCI589849 LME589830:LME589849 LWA589830:LWA589849 MFW589830:MFW589849 MPS589830:MPS589849 MZO589830:MZO589849 NJK589830:NJK589849 NTG589830:NTG589849 ODC589830:ODC589849 OMY589830:OMY589849 OWU589830:OWU589849 PGQ589830:PGQ589849 PQM589830:PQM589849 QAI589830:QAI589849 QKE589830:QKE589849 QUA589830:QUA589849 RDW589830:RDW589849 RNS589830:RNS589849 RXO589830:RXO589849 SHK589830:SHK589849 SRG589830:SRG589849 TBC589830:TBC589849 TKY589830:TKY589849 TUU589830:TUU589849 UEQ589830:UEQ589849 UOM589830:UOM589849 UYI589830:UYI589849 VIE589830:VIE589849 VSA589830:VSA589849 WBW589830:WBW589849 WLS589830:WLS589849 WVO589830:WVO589849 G655366:G655385 JC655366:JC655385 SY655366:SY655385 ACU655366:ACU655385 AMQ655366:AMQ655385 AWM655366:AWM655385 BGI655366:BGI655385 BQE655366:BQE655385 CAA655366:CAA655385 CJW655366:CJW655385 CTS655366:CTS655385 DDO655366:DDO655385 DNK655366:DNK655385 DXG655366:DXG655385 EHC655366:EHC655385 EQY655366:EQY655385 FAU655366:FAU655385 FKQ655366:FKQ655385 FUM655366:FUM655385 GEI655366:GEI655385 GOE655366:GOE655385 GYA655366:GYA655385 HHW655366:HHW655385 HRS655366:HRS655385 IBO655366:IBO655385 ILK655366:ILK655385 IVG655366:IVG655385 JFC655366:JFC655385 JOY655366:JOY655385 JYU655366:JYU655385 KIQ655366:KIQ655385 KSM655366:KSM655385 LCI655366:LCI655385 LME655366:LME655385 LWA655366:LWA655385 MFW655366:MFW655385 MPS655366:MPS655385 MZO655366:MZO655385 NJK655366:NJK655385 NTG655366:NTG655385 ODC655366:ODC655385 OMY655366:OMY655385 OWU655366:OWU655385 PGQ655366:PGQ655385 PQM655366:PQM655385 QAI655366:QAI655385 QKE655366:QKE655385 QUA655366:QUA655385 RDW655366:RDW655385 RNS655366:RNS655385 RXO655366:RXO655385 SHK655366:SHK655385 SRG655366:SRG655385 TBC655366:TBC655385 TKY655366:TKY655385 TUU655366:TUU655385 UEQ655366:UEQ655385 UOM655366:UOM655385 UYI655366:UYI655385 VIE655366:VIE655385 VSA655366:VSA655385 WBW655366:WBW655385 WLS655366:WLS655385 WVO655366:WVO655385 G720902:G720921 JC720902:JC720921 SY720902:SY720921 ACU720902:ACU720921 AMQ720902:AMQ720921 AWM720902:AWM720921 BGI720902:BGI720921 BQE720902:BQE720921 CAA720902:CAA720921 CJW720902:CJW720921 CTS720902:CTS720921 DDO720902:DDO720921 DNK720902:DNK720921 DXG720902:DXG720921 EHC720902:EHC720921 EQY720902:EQY720921 FAU720902:FAU720921 FKQ720902:FKQ720921 FUM720902:FUM720921 GEI720902:GEI720921 GOE720902:GOE720921 GYA720902:GYA720921 HHW720902:HHW720921 HRS720902:HRS720921 IBO720902:IBO720921 ILK720902:ILK720921 IVG720902:IVG720921 JFC720902:JFC720921 JOY720902:JOY720921 JYU720902:JYU720921 KIQ720902:KIQ720921 KSM720902:KSM720921 LCI720902:LCI720921 LME720902:LME720921 LWA720902:LWA720921 MFW720902:MFW720921 MPS720902:MPS720921 MZO720902:MZO720921 NJK720902:NJK720921 NTG720902:NTG720921 ODC720902:ODC720921 OMY720902:OMY720921 OWU720902:OWU720921 PGQ720902:PGQ720921 PQM720902:PQM720921 QAI720902:QAI720921 QKE720902:QKE720921 QUA720902:QUA720921 RDW720902:RDW720921 RNS720902:RNS720921 RXO720902:RXO720921 SHK720902:SHK720921 SRG720902:SRG720921 TBC720902:TBC720921 TKY720902:TKY720921 TUU720902:TUU720921 UEQ720902:UEQ720921 UOM720902:UOM720921 UYI720902:UYI720921 VIE720902:VIE720921 VSA720902:VSA720921 WBW720902:WBW720921 WLS720902:WLS720921 WVO720902:WVO720921 G786438:G786457 JC786438:JC786457 SY786438:SY786457 ACU786438:ACU786457 AMQ786438:AMQ786457 AWM786438:AWM786457 BGI786438:BGI786457 BQE786438:BQE786457 CAA786438:CAA786457 CJW786438:CJW786457 CTS786438:CTS786457 DDO786438:DDO786457 DNK786438:DNK786457 DXG786438:DXG786457 EHC786438:EHC786457 EQY786438:EQY786457 FAU786438:FAU786457 FKQ786438:FKQ786457 FUM786438:FUM786457 GEI786438:GEI786457 GOE786438:GOE786457 GYA786438:GYA786457 HHW786438:HHW786457 HRS786438:HRS786457 IBO786438:IBO786457 ILK786438:ILK786457 IVG786438:IVG786457 JFC786438:JFC786457 JOY786438:JOY786457 JYU786438:JYU786457 KIQ786438:KIQ786457 KSM786438:KSM786457 LCI786438:LCI786457 LME786438:LME786457 LWA786438:LWA786457 MFW786438:MFW786457 MPS786438:MPS786457 MZO786438:MZO786457 NJK786438:NJK786457 NTG786438:NTG786457 ODC786438:ODC786457 OMY786438:OMY786457 OWU786438:OWU786457 PGQ786438:PGQ786457 PQM786438:PQM786457 QAI786438:QAI786457 QKE786438:QKE786457 QUA786438:QUA786457 RDW786438:RDW786457 RNS786438:RNS786457 RXO786438:RXO786457 SHK786438:SHK786457 SRG786438:SRG786457 TBC786438:TBC786457 TKY786438:TKY786457 TUU786438:TUU786457 UEQ786438:UEQ786457 UOM786438:UOM786457 UYI786438:UYI786457 VIE786438:VIE786457 VSA786438:VSA786457 WBW786438:WBW786457 WLS786438:WLS786457 WVO786438:WVO786457 G851974:G851993 JC851974:JC851993 SY851974:SY851993 ACU851974:ACU851993 AMQ851974:AMQ851993 AWM851974:AWM851993 BGI851974:BGI851993 BQE851974:BQE851993 CAA851974:CAA851993 CJW851974:CJW851993 CTS851974:CTS851993 DDO851974:DDO851993 DNK851974:DNK851993 DXG851974:DXG851993 EHC851974:EHC851993 EQY851974:EQY851993 FAU851974:FAU851993 FKQ851974:FKQ851993 FUM851974:FUM851993 GEI851974:GEI851993 GOE851974:GOE851993 GYA851974:GYA851993 HHW851974:HHW851993 HRS851974:HRS851993 IBO851974:IBO851993 ILK851974:ILK851993 IVG851974:IVG851993 JFC851974:JFC851993 JOY851974:JOY851993 JYU851974:JYU851993 KIQ851974:KIQ851993 KSM851974:KSM851993 LCI851974:LCI851993 LME851974:LME851993 LWA851974:LWA851993 MFW851974:MFW851993 MPS851974:MPS851993 MZO851974:MZO851993 NJK851974:NJK851993 NTG851974:NTG851993 ODC851974:ODC851993 OMY851974:OMY851993 OWU851974:OWU851993 PGQ851974:PGQ851993 PQM851974:PQM851993 QAI851974:QAI851993 QKE851974:QKE851993 QUA851974:QUA851993 RDW851974:RDW851993 RNS851974:RNS851993 RXO851974:RXO851993 SHK851974:SHK851993 SRG851974:SRG851993 TBC851974:TBC851993 TKY851974:TKY851993 TUU851974:TUU851993 UEQ851974:UEQ851993 UOM851974:UOM851993 UYI851974:UYI851993 VIE851974:VIE851993 VSA851974:VSA851993 WBW851974:WBW851993 WLS851974:WLS851993 WVO851974:WVO851993 G917510:G917529 JC917510:JC917529 SY917510:SY917529 ACU917510:ACU917529 AMQ917510:AMQ917529 AWM917510:AWM917529 BGI917510:BGI917529 BQE917510:BQE917529 CAA917510:CAA917529 CJW917510:CJW917529 CTS917510:CTS917529 DDO917510:DDO917529 DNK917510:DNK917529 DXG917510:DXG917529 EHC917510:EHC917529 EQY917510:EQY917529 FAU917510:FAU917529 FKQ917510:FKQ917529 FUM917510:FUM917529 GEI917510:GEI917529 GOE917510:GOE917529 GYA917510:GYA917529 HHW917510:HHW917529 HRS917510:HRS917529 IBO917510:IBO917529 ILK917510:ILK917529 IVG917510:IVG917529 JFC917510:JFC917529 JOY917510:JOY917529 JYU917510:JYU917529 KIQ917510:KIQ917529 KSM917510:KSM917529 LCI917510:LCI917529 LME917510:LME917529 LWA917510:LWA917529 MFW917510:MFW917529 MPS917510:MPS917529 MZO917510:MZO917529 NJK917510:NJK917529 NTG917510:NTG917529 ODC917510:ODC917529 OMY917510:OMY917529 OWU917510:OWU917529 PGQ917510:PGQ917529 PQM917510:PQM917529 QAI917510:QAI917529 QKE917510:QKE917529 QUA917510:QUA917529 RDW917510:RDW917529 RNS917510:RNS917529 RXO917510:RXO917529 SHK917510:SHK917529 SRG917510:SRG917529 TBC917510:TBC917529 TKY917510:TKY917529 TUU917510:TUU917529 UEQ917510:UEQ917529 UOM917510:UOM917529 UYI917510:UYI917529 VIE917510:VIE917529 VSA917510:VSA917529 WBW917510:WBW917529 WLS917510:WLS917529 WVO917510:WVO917529 G983046:G983065 JC983046:JC983065 SY983046:SY983065 ACU983046:ACU983065 AMQ983046:AMQ983065 AWM983046:AWM983065 BGI983046:BGI983065 BQE983046:BQE983065 CAA983046:CAA983065 CJW983046:CJW983065 CTS983046:CTS983065 DDO983046:DDO983065 DNK983046:DNK983065 DXG983046:DXG983065 EHC983046:EHC983065 EQY983046:EQY983065 FAU983046:FAU983065 FKQ983046:FKQ983065 FUM983046:FUM983065 GEI983046:GEI983065 GOE983046:GOE983065 GYA983046:GYA983065 HHW983046:HHW983065 HRS983046:HRS983065 IBO983046:IBO983065 ILK983046:ILK983065 IVG983046:IVG983065 JFC983046:JFC983065 JOY983046:JOY983065 JYU983046:JYU983065 KIQ983046:KIQ983065 KSM983046:KSM983065 LCI983046:LCI983065 LME983046:LME983065 LWA983046:LWA983065 MFW983046:MFW983065 MPS983046:MPS983065 MZO983046:MZO983065 NJK983046:NJK983065 NTG983046:NTG983065 ODC983046:ODC983065 OMY983046:OMY983065 OWU983046:OWU983065 PGQ983046:PGQ983065 PQM983046:PQM983065 QAI983046:QAI983065 QKE983046:QKE983065 QUA983046:QUA983065 RDW983046:RDW983065 RNS983046:RNS983065 RXO983046:RXO983065 SHK983046:SHK983065 SRG983046:SRG983065 TBC983046:TBC983065 TKY983046:TKY983065 TUU983046:TUU983065 UEQ983046:UEQ983065 UOM983046:UOM983065 UYI983046:UYI983065 VIE983046:VIE983065 VSA983046:VSA983065 WBW983046:WBW983065 WLS983046:WLS983065 WVO983046:WVO983065" xr:uid="{00000000-0002-0000-0B00-000000000000}">
      <formula1>"L,M,H,NA,h,m,l,na"</formula1>
    </dataValidation>
  </dataValidations>
  <pageMargins left="0.7" right="0.7" top="0.75" bottom="0.75" header="0.3" footer="0.3"/>
  <pageSetup scale="3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3"/>
  <sheetViews>
    <sheetView workbookViewId="0">
      <selection activeCell="F28" sqref="F28"/>
    </sheetView>
  </sheetViews>
  <sheetFormatPr defaultRowHeight="14.5"/>
  <cols>
    <col min="1" max="1" width="22" bestFit="1" customWidth="1"/>
    <col min="2" max="2" width="13.54296875" bestFit="1" customWidth="1"/>
    <col min="3" max="3" width="20.54296875" bestFit="1" customWidth="1"/>
    <col min="4" max="4" width="19.7265625" bestFit="1" customWidth="1"/>
    <col min="5" max="5" width="15.26953125" bestFit="1" customWidth="1"/>
    <col min="6" max="6" width="20" bestFit="1" customWidth="1"/>
  </cols>
  <sheetData>
    <row r="1" spans="1:6">
      <c r="A1" s="109" t="s">
        <v>439</v>
      </c>
      <c r="B1" s="110" t="s">
        <v>440</v>
      </c>
      <c r="C1" s="110" t="s">
        <v>441</v>
      </c>
      <c r="D1" s="111" t="s">
        <v>442</v>
      </c>
      <c r="E1" s="111" t="s">
        <v>443</v>
      </c>
      <c r="F1" s="112" t="s">
        <v>444</v>
      </c>
    </row>
    <row r="2" spans="1:6">
      <c r="A2" s="113" t="s">
        <v>445</v>
      </c>
      <c r="B2" s="114">
        <v>1</v>
      </c>
      <c r="C2" s="114">
        <v>1</v>
      </c>
      <c r="D2" s="114" t="s">
        <v>446</v>
      </c>
      <c r="E2" s="114" t="s">
        <v>447</v>
      </c>
      <c r="F2" s="115" t="s">
        <v>448</v>
      </c>
    </row>
    <row r="3" spans="1:6">
      <c r="A3" s="116" t="s">
        <v>449</v>
      </c>
      <c r="B3" s="117">
        <v>2</v>
      </c>
      <c r="C3" s="117">
        <v>1</v>
      </c>
      <c r="D3" s="117" t="s">
        <v>425</v>
      </c>
      <c r="E3" s="117" t="s">
        <v>425</v>
      </c>
      <c r="F3" s="118" t="s">
        <v>425</v>
      </c>
    </row>
    <row r="4" spans="1:6">
      <c r="A4" s="113" t="s">
        <v>450</v>
      </c>
      <c r="B4" s="114">
        <v>3</v>
      </c>
      <c r="C4" s="114">
        <v>1</v>
      </c>
      <c r="D4" s="114" t="s">
        <v>451</v>
      </c>
      <c r="E4" s="114" t="s">
        <v>452</v>
      </c>
      <c r="F4" s="115" t="s">
        <v>448</v>
      </c>
    </row>
    <row r="5" spans="1:6">
      <c r="A5" s="119" t="s">
        <v>453</v>
      </c>
      <c r="B5" s="120">
        <v>4</v>
      </c>
      <c r="C5" s="121" t="s">
        <v>454</v>
      </c>
      <c r="D5" s="120" t="s">
        <v>425</v>
      </c>
      <c r="E5" s="120" t="s">
        <v>425</v>
      </c>
      <c r="F5" s="122" t="s">
        <v>425</v>
      </c>
    </row>
    <row r="6" spans="1:6">
      <c r="A6" s="113" t="s">
        <v>455</v>
      </c>
      <c r="B6" s="114">
        <v>5</v>
      </c>
      <c r="C6" s="123" t="s">
        <v>454</v>
      </c>
      <c r="D6" s="114" t="s">
        <v>425</v>
      </c>
      <c r="E6" s="114" t="s">
        <v>425</v>
      </c>
      <c r="F6" s="115" t="s">
        <v>425</v>
      </c>
    </row>
    <row r="7" spans="1:6">
      <c r="A7" s="119" t="s">
        <v>456</v>
      </c>
      <c r="B7" s="120">
        <v>6</v>
      </c>
      <c r="C7" s="121" t="s">
        <v>454</v>
      </c>
      <c r="D7" s="120" t="s">
        <v>425</v>
      </c>
      <c r="E7" s="120" t="s">
        <v>425</v>
      </c>
      <c r="F7" s="122" t="s">
        <v>425</v>
      </c>
    </row>
    <row r="8" spans="1:6">
      <c r="A8" s="113" t="s">
        <v>457</v>
      </c>
      <c r="B8" s="114">
        <v>7</v>
      </c>
      <c r="C8" s="123" t="s">
        <v>454</v>
      </c>
      <c r="D8" s="114" t="s">
        <v>425</v>
      </c>
      <c r="E8" s="114" t="s">
        <v>425</v>
      </c>
      <c r="F8" s="115" t="s">
        <v>425</v>
      </c>
    </row>
    <row r="9" spans="1:6">
      <c r="A9" s="119" t="s">
        <v>458</v>
      </c>
      <c r="B9" s="120">
        <v>8</v>
      </c>
      <c r="C9" s="121" t="s">
        <v>459</v>
      </c>
      <c r="D9" s="120" t="s">
        <v>425</v>
      </c>
      <c r="E9" s="120" t="s">
        <v>425</v>
      </c>
      <c r="F9" s="122" t="s">
        <v>425</v>
      </c>
    </row>
    <row r="10" spans="1:6">
      <c r="A10" s="113" t="s">
        <v>460</v>
      </c>
      <c r="B10" s="114">
        <v>9</v>
      </c>
      <c r="C10" s="123" t="s">
        <v>454</v>
      </c>
      <c r="D10" s="114" t="s">
        <v>461</v>
      </c>
      <c r="E10" s="114" t="s">
        <v>462</v>
      </c>
      <c r="F10" s="115" t="s">
        <v>463</v>
      </c>
    </row>
    <row r="11" spans="1:6">
      <c r="A11" s="119" t="s">
        <v>464</v>
      </c>
      <c r="B11" s="120">
        <v>10</v>
      </c>
      <c r="C11" s="121" t="s">
        <v>465</v>
      </c>
      <c r="D11" s="120" t="s">
        <v>466</v>
      </c>
      <c r="E11" s="120" t="s">
        <v>467</v>
      </c>
      <c r="F11" s="122" t="s">
        <v>468</v>
      </c>
    </row>
    <row r="12" spans="1:6">
      <c r="A12" s="113" t="s">
        <v>469</v>
      </c>
      <c r="B12" s="114">
        <v>11</v>
      </c>
      <c r="C12" s="123" t="s">
        <v>465</v>
      </c>
      <c r="D12" s="114" t="s">
        <v>470</v>
      </c>
      <c r="E12" s="114" t="s">
        <v>471</v>
      </c>
      <c r="F12" s="115" t="s">
        <v>472</v>
      </c>
    </row>
    <row r="13" spans="1:6">
      <c r="A13" s="119" t="s">
        <v>473</v>
      </c>
      <c r="B13" s="120">
        <v>12</v>
      </c>
      <c r="C13" s="121" t="s">
        <v>474</v>
      </c>
      <c r="D13" s="120" t="s">
        <v>475</v>
      </c>
      <c r="E13" s="120" t="s">
        <v>476</v>
      </c>
      <c r="F13" s="122" t="s">
        <v>477</v>
      </c>
    </row>
    <row r="14" spans="1:6">
      <c r="A14" s="113" t="s">
        <v>478</v>
      </c>
      <c r="B14" s="114">
        <v>13</v>
      </c>
      <c r="C14" s="123" t="s">
        <v>479</v>
      </c>
      <c r="D14" s="114" t="s">
        <v>425</v>
      </c>
      <c r="E14" s="114" t="s">
        <v>425</v>
      </c>
      <c r="F14" s="115" t="s">
        <v>425</v>
      </c>
    </row>
    <row r="15" spans="1:6">
      <c r="A15" s="119" t="s">
        <v>480</v>
      </c>
      <c r="B15" s="120">
        <v>14</v>
      </c>
      <c r="C15" s="121" t="s">
        <v>479</v>
      </c>
      <c r="D15" s="120" t="s">
        <v>425</v>
      </c>
      <c r="E15" s="120" t="s">
        <v>425</v>
      </c>
      <c r="F15" s="122" t="s">
        <v>425</v>
      </c>
    </row>
    <row r="16" spans="1:6">
      <c r="A16" s="113" t="s">
        <v>481</v>
      </c>
      <c r="B16" s="114">
        <v>15</v>
      </c>
      <c r="C16" s="123" t="s">
        <v>454</v>
      </c>
      <c r="D16" s="114" t="s">
        <v>425</v>
      </c>
      <c r="E16" s="114" t="s">
        <v>425</v>
      </c>
      <c r="F16" s="115" t="s">
        <v>425</v>
      </c>
    </row>
    <row r="17" spans="1:6">
      <c r="A17" s="119" t="s">
        <v>482</v>
      </c>
      <c r="B17" s="120">
        <v>16</v>
      </c>
      <c r="C17" s="121" t="s">
        <v>483</v>
      </c>
      <c r="D17" s="120" t="s">
        <v>484</v>
      </c>
      <c r="E17" s="120" t="s">
        <v>485</v>
      </c>
      <c r="F17" s="122" t="s">
        <v>448</v>
      </c>
    </row>
    <row r="18" spans="1:6">
      <c r="A18" s="113" t="s">
        <v>486</v>
      </c>
      <c r="B18" s="114">
        <v>17</v>
      </c>
      <c r="C18" s="123" t="s">
        <v>483</v>
      </c>
      <c r="D18" s="114" t="s">
        <v>425</v>
      </c>
      <c r="E18" s="114" t="s">
        <v>425</v>
      </c>
      <c r="F18" s="115" t="s">
        <v>425</v>
      </c>
    </row>
    <row r="19" spans="1:6">
      <c r="A19" s="119" t="s">
        <v>487</v>
      </c>
      <c r="B19" s="120">
        <v>18</v>
      </c>
      <c r="C19" s="121" t="s">
        <v>459</v>
      </c>
      <c r="D19" s="120" t="s">
        <v>488</v>
      </c>
      <c r="E19" s="120" t="s">
        <v>489</v>
      </c>
      <c r="F19" s="122" t="s">
        <v>490</v>
      </c>
    </row>
    <row r="20" spans="1:6">
      <c r="A20" s="113" t="s">
        <v>491</v>
      </c>
      <c r="B20" s="114">
        <v>19</v>
      </c>
      <c r="C20" s="123" t="s">
        <v>454</v>
      </c>
      <c r="D20" s="114" t="s">
        <v>425</v>
      </c>
      <c r="E20" s="114" t="s">
        <v>425</v>
      </c>
      <c r="F20" s="115" t="s">
        <v>425</v>
      </c>
    </row>
    <row r="21" spans="1:6">
      <c r="A21" s="119" t="s">
        <v>492</v>
      </c>
      <c r="B21" s="120">
        <v>20</v>
      </c>
      <c r="C21" s="121" t="s">
        <v>493</v>
      </c>
      <c r="D21" s="120" t="s">
        <v>425</v>
      </c>
      <c r="E21" s="120" t="s">
        <v>425</v>
      </c>
      <c r="F21" s="122" t="s">
        <v>425</v>
      </c>
    </row>
    <row r="22" spans="1:6">
      <c r="A22" s="113" t="s">
        <v>494</v>
      </c>
      <c r="B22" s="114">
        <v>21</v>
      </c>
      <c r="C22" s="123" t="s">
        <v>493</v>
      </c>
      <c r="D22" s="114" t="s">
        <v>425</v>
      </c>
      <c r="E22" s="114" t="s">
        <v>425</v>
      </c>
      <c r="F22" s="115" t="s">
        <v>425</v>
      </c>
    </row>
    <row r="23" spans="1:6" ht="15" thickBot="1">
      <c r="A23" s="124" t="s">
        <v>495</v>
      </c>
      <c r="B23" s="125">
        <v>22</v>
      </c>
      <c r="C23" s="126" t="s">
        <v>493</v>
      </c>
      <c r="D23" s="125" t="s">
        <v>496</v>
      </c>
      <c r="E23" s="125" t="s">
        <v>497</v>
      </c>
      <c r="F23" s="127" t="s">
        <v>448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Change History</vt:lpstr>
      <vt:lpstr>Evaluation of Risk Exposure</vt:lpstr>
      <vt:lpstr>Risk Assessment Guidelines</vt:lpstr>
      <vt:lpstr>Asset Rating</vt:lpstr>
      <vt:lpstr>ASRY IT Risk Profiles</vt:lpstr>
      <vt:lpstr>IT Risk Assessment Sheet</vt:lpstr>
      <vt:lpstr>IT Risk Assessment Process</vt:lpstr>
      <vt:lpstr>Threat Catalogue</vt:lpstr>
      <vt:lpstr>Applicaiton Specific Risk</vt:lpstr>
      <vt:lpstr>Security Specific Risk</vt:lpstr>
      <vt:lpstr>Service Op &amp; Support Risk</vt:lpstr>
      <vt:lpstr>Wireless Project</vt:lpstr>
      <vt:lpstr>'ASRY IT Risk Profiles'!Print_Area</vt:lpstr>
      <vt:lpstr>'IT Risk Assessment Sheet'!Print_Area</vt:lpstr>
      <vt:lpstr>'Change History'!Print_Titles</vt:lpstr>
      <vt:lpstr>'IT Risk Assessment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ASRY IT-019 Risk Register_V1.Rev17_30052022</dc:title>
  <dc:creator>anshuman@asry.net</dc:creator>
  <cp:lastModifiedBy>Anshuman Tripathi</cp:lastModifiedBy>
  <cp:lastPrinted>2025-07-17T10:08:07Z</cp:lastPrinted>
  <dcterms:created xsi:type="dcterms:W3CDTF">2012-12-24T10:06:11Z</dcterms:created>
  <dcterms:modified xsi:type="dcterms:W3CDTF">2026-01-11T05:14:25Z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26ca82-b672-42db-9478-6a546640ba40_Enabled">
    <vt:lpwstr>true</vt:lpwstr>
  </property>
  <property fmtid="{D5CDD505-2E9C-101B-9397-08002B2CF9AE}" pid="3" name="MSIP_Label_0626ca82-b672-42db-9478-6a546640ba40_SetDate">
    <vt:lpwstr>2021-09-02T08:25:39Z</vt:lpwstr>
  </property>
  <property fmtid="{D5CDD505-2E9C-101B-9397-08002B2CF9AE}" pid="4" name="MSIP_Label_0626ca82-b672-42db-9478-6a546640ba40_Method">
    <vt:lpwstr>Standard</vt:lpwstr>
  </property>
  <property fmtid="{D5CDD505-2E9C-101B-9397-08002B2CF9AE}" pid="5" name="MSIP_Label_0626ca82-b672-42db-9478-6a546640ba40_Name">
    <vt:lpwstr>General</vt:lpwstr>
  </property>
  <property fmtid="{D5CDD505-2E9C-101B-9397-08002B2CF9AE}" pid="6" name="MSIP_Label_0626ca82-b672-42db-9478-6a546640ba40_SiteId">
    <vt:lpwstr>c01fd2ed-711c-4b6d-807d-3fc1803ba9e8</vt:lpwstr>
  </property>
  <property fmtid="{D5CDD505-2E9C-101B-9397-08002B2CF9AE}" pid="7" name="MSIP_Label_0626ca82-b672-42db-9478-6a546640ba40_ActionId">
    <vt:lpwstr>81d388d3-3cd3-436d-9899-0426c1860936</vt:lpwstr>
  </property>
  <property fmtid="{D5CDD505-2E9C-101B-9397-08002B2CF9AE}" pid="8" name="MSIP_Label_0626ca82-b672-42db-9478-6a546640ba40_ContentBits">
    <vt:lpwstr>0</vt:lpwstr>
  </property>
</Properties>
</file>